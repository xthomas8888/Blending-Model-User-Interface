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macrosheets/sheet1.xml" ContentType="application/vnd.ms-excel.macro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V26 WIP\"/>
    </mc:Choice>
  </mc:AlternateContent>
  <bookViews>
    <workbookView xWindow="0" yWindow="0" windowWidth="14385" windowHeight="4095" tabRatio="782" firstSheet="8" activeTab="14" xr2:uid="{00000000-000D-0000-FFFF-FFFF00000000}"/>
  </bookViews>
  <sheets>
    <sheet name="Main" sheetId="14" r:id="rId1"/>
    <sheet name="Optimization Objective" sheetId="48" r:id="rId2"/>
    <sheet name="Commodities" sheetId="49" r:id="rId3"/>
    <sheet name="Shippers" sheetId="37" r:id="rId4"/>
    <sheet name="Sites" sheetId="38" r:id="rId5"/>
    <sheet name="Streams" sheetId="45" r:id="rId6"/>
    <sheet name="Stream to Experiment" sheetId="46" r:id="rId7"/>
    <sheet name="Product Costs" sheetId="39" r:id="rId8"/>
    <sheet name="Macro1" sheetId="53" r:id="rId9"/>
    <sheet name="Nominations" sheetId="44" r:id="rId10"/>
    <sheet name="Stream Out Constraints" sheetId="36" r:id="rId11"/>
    <sheet name="Tariff" sheetId="42" r:id="rId12"/>
    <sheet name="Site Out Constraints" sheetId="47" r:id="rId13"/>
    <sheet name="Supply-Stream Out Constraints" sheetId="43" r:id="rId14"/>
    <sheet name="System Tables" sheetId="16" r:id="rId15"/>
    <sheet name="Transport Methods" sheetId="50" r:id="rId16"/>
    <sheet name="Material Types" sheetId="51" r:id="rId17"/>
    <sheet name="Product Types" sheetId="52" r:id="rId18"/>
  </sheets>
  <functionGroups builtInGroupCount="18"/>
  <definedNames>
    <definedName name="_xlnm.Print_Area" localSheetId="2">'Commodities'!$B$4:$N$40</definedName>
    <definedName name="_xlnm.Print_Area" localSheetId="0">Main!$B$8:$R$23</definedName>
    <definedName name="_xlnm.Print_Area" localSheetId="16">'Material Types'!$B$4:$M$20</definedName>
    <definedName name="_xlnm.Print_Area" localSheetId="9">Nominations!$B$4:$AK$8</definedName>
    <definedName name="_xlnm.Print_Area" localSheetId="1">'Optimization Objective'!$B$4:$K$12</definedName>
    <definedName name="_xlnm.Print_Area" localSheetId="7">'Product Costs'!$B$4:$W$9</definedName>
    <definedName name="_xlnm.Print_Area" localSheetId="17">'Product Types'!$B$4:$E$8</definedName>
    <definedName name="_xlnm.Print_Area" localSheetId="3">Shippers!$B$4:$G$40</definedName>
    <definedName name="_xlnm.Print_Area" localSheetId="12">'Site Out Constraints'!$B$4:$M$5</definedName>
    <definedName name="_xlnm.Print_Area" localSheetId="4">Sites!$B$4:$M$74</definedName>
    <definedName name="_xlnm.Print_Area" localSheetId="10">'Stream Out Constraints'!$B$4:$O$9</definedName>
    <definedName name="_xlnm.Print_Area" localSheetId="6">'Stream to Experiment'!$B$4:$H$5</definedName>
    <definedName name="_xlnm.Print_Area" localSheetId="5">Streams!$B$4:$Q$5</definedName>
    <definedName name="_xlnm.Print_Area" localSheetId="13">'Supply-Stream Out Constraints'!$B$4:$AB$5</definedName>
    <definedName name="_xlnm.Print_Area" localSheetId="14">'Product Types'!$B$4:$E$8</definedName>
    <definedName name="_xlnm.Print_Area" localSheetId="11">Tariff!$B$4:$AC$17</definedName>
    <definedName name="_xlnm.Print_Area" localSheetId="15">'Transport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5" i="46"/>
  <c r="F5" i="4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8" i="44"/>
  <c r="AF8" i="44"/>
  <c r="AG8" i="44"/>
  <c r="AH8" i="44"/>
  <c r="AI8" i="44"/>
  <c r="B7" i="44"/>
  <c r="AF7" i="44"/>
  <c r="AG7" i="44"/>
  <c r="AH7" i="44"/>
  <c r="AI7" i="44"/>
  <c r="B6" i="44"/>
  <c r="AF6" i="44"/>
  <c r="AG6" i="44"/>
  <c r="AH6" i="44"/>
  <c r="AI6" i="44"/>
  <c r="B5" i="44"/>
  <c r="AF5" i="44"/>
  <c r="AG5" i="44"/>
  <c r="AH5" i="44"/>
  <c r="AI5" i="44"/>
  <c r="B9" i="39"/>
  <c r="S9" i="39"/>
  <c r="T9" i="39"/>
  <c r="U9" i="39"/>
  <c r="B8" i="39"/>
  <c r="S8" i="39"/>
  <c r="T8" i="39"/>
  <c r="U8" i="39"/>
  <c r="B7" i="39"/>
  <c r="S7" i="39"/>
  <c r="T7" i="39"/>
  <c r="U7" i="39"/>
  <c r="B6" i="39"/>
  <c r="S6" i="39"/>
  <c r="T6" i="39"/>
  <c r="U6" i="39"/>
  <c r="B5" i="39"/>
  <c r="S5" i="39"/>
  <c r="T5" i="39"/>
  <c r="U5" i="39"/>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0" i="49"/>
  <c r="L40" i="49"/>
  <c r="M40" i="49"/>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23" i="14"/>
  <c r="B22" i="14"/>
  <c r="B21" i="14"/>
  <c r="B20" i="14"/>
  <c r="B19" i="14"/>
  <c r="B18" i="14"/>
  <c r="B17" i="14"/>
  <c r="B16" i="14"/>
  <c r="B15" i="14"/>
  <c r="B14" i="14"/>
  <c r="B13" i="14"/>
  <c r="B12" i="14"/>
  <c r="B11" i="14"/>
  <c r="B10" i="14"/>
  <c r="B9" i="14"/>
</calcChain>
</file>

<file path=xl/sharedStrings.xml><?xml version="1.0" encoding="utf-8"?>
<sst xmlns="http://schemas.openxmlformats.org/spreadsheetml/2006/main" count="981" uniqueCount="449">
  <si>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</si>
  <si>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</si>
  <si>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</si>
  <si>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</si>
  <si>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</si>
  <si>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</si>
  <si>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</si>
  <si>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</si>
  <si>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</si>
  <si>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</si>
  <si>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</si>
  <si>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</si>
  <si>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</si>
  <si>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</si>
  <si>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</si>
  <si>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</si>
  <si>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</si>
  <si>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</si>
  <si>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</si>
  <si>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</si>
  <si>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</si>
  <si>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</si>
  <si>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</si>
  <si>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</si>
  <si>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Auto Stop</t>
  </si>
  <si>
    <t>Iterations</t>
  </si>
  <si>
    <t>Maximum Run Duration</t>
  </si>
  <si>
    <t>Exchange Rate</t>
  </si>
  <si>
    <t>Year</t>
  </si>
  <si>
    <t>Month</t>
  </si>
  <si>
    <t>Factor (Barrel)</t>
  </si>
  <si>
    <t>3 Stream Facility 2017</t>
  </si>
  <si>
    <t>2 Facilities 5 Streams</t>
  </si>
  <si>
    <t>Shippers</t>
  </si>
  <si>
    <t>Canada_Capital</t>
  </si>
  <si>
    <t>Canada Capital</t>
  </si>
  <si>
    <t>Runcible_Oil</t>
  </si>
  <si>
    <t>Flint_Hills</t>
  </si>
  <si>
    <t>Serafina</t>
  </si>
  <si>
    <t>Plains</t>
  </si>
  <si>
    <t>Caltex</t>
  </si>
  <si>
    <t>Melita_Resources</t>
  </si>
  <si>
    <t>NGL</t>
  </si>
  <si>
    <t>Plains Enviro</t>
  </si>
  <si>
    <t>Plains2</t>
  </si>
  <si>
    <t>NAL</t>
  </si>
  <si>
    <t>CHS</t>
  </si>
  <si>
    <t>Crescent Point</t>
  </si>
  <si>
    <t>Centenial</t>
  </si>
  <si>
    <t>Lansing</t>
  </si>
  <si>
    <t>618555_Sask</t>
  </si>
  <si>
    <t>Seven_Generations</t>
  </si>
  <si>
    <t>Pembina_Pipeline_Corporation</t>
  </si>
  <si>
    <t>Canadian_Natural_Resources_Ltd</t>
  </si>
  <si>
    <t>Outlier_Resources_Ltd_(Acme)</t>
  </si>
  <si>
    <t>Mosaic</t>
  </si>
  <si>
    <t>Catapult</t>
  </si>
  <si>
    <t>Spry</t>
  </si>
  <si>
    <t>Andora</t>
  </si>
  <si>
    <t>Artek Exploration</t>
  </si>
  <si>
    <t>Baytex Energy Ltd</t>
  </si>
  <si>
    <t>Blackpearl</t>
  </si>
  <si>
    <t>Connacher</t>
  </si>
  <si>
    <t>Encana</t>
  </si>
  <si>
    <t>Grizzly</t>
  </si>
  <si>
    <t>Laricina</t>
  </si>
  <si>
    <t>Paramount</t>
  </si>
  <si>
    <t>Response</t>
  </si>
  <si>
    <t>Saguaro</t>
  </si>
  <si>
    <t>Spectra</t>
  </si>
  <si>
    <t>Sites</t>
  </si>
  <si>
    <t>Shipper</t>
  </si>
  <si>
    <t>X</t>
  </si>
  <si>
    <t>Y</t>
  </si>
  <si>
    <t>Z</t>
  </si>
  <si>
    <t>Address</t>
  </si>
  <si>
    <t>Flint_Hills1</t>
  </si>
  <si>
    <t>Flint_Hills2</t>
  </si>
  <si>
    <t>NGL_Tioga_C5+</t>
  </si>
  <si>
    <t>NGL_Robby_Lake_C5+</t>
  </si>
  <si>
    <t>Plains1</t>
  </si>
  <si>
    <t>Centenial1</t>
  </si>
  <si>
    <t>Centenial2</t>
  </si>
  <si>
    <t>FoxCreek</t>
  </si>
  <si>
    <t>Centenial3</t>
  </si>
  <si>
    <t>Seven_Generations01</t>
  </si>
  <si>
    <t>Seven_Generations02</t>
  </si>
  <si>
    <t>Seven_Generations03</t>
  </si>
  <si>
    <t>Seven_Generations04</t>
  </si>
  <si>
    <t>Outlier Resources Ltd. (Acme)02</t>
  </si>
  <si>
    <t>Mosiac01</t>
  </si>
  <si>
    <t>Mosiac02</t>
  </si>
  <si>
    <t>Spry1</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</si>
  <si>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</si>
  <si>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</si>
  <si>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</si>
  <si>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</si>
  <si>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</si>
  <si>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</si>
  <si>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</si>
  <si>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</si>
  <si>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</si>
  <si>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</si>
  <si>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</si>
  <si>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</si>
  <si>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</si>
  <si>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</si>
  <si>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</si>
  <si>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</si>
  <si>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</si>
  <si>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</si>
  <si>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</si>
  <si>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</si>
  <si>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</si>
  <si>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</si>
  <si>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</si>
  <si>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</si>
  <si>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</si>
  <si>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</si>
  <si>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</si>
  <si>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</si>
  <si>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</si>
  <si>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</si>
  <si>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</si>
  <si>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</si>
  <si>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</si>
  <si>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</si>
  <si>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</si>
  <si>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</si>
  <si>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</si>
  <si>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</si>
  <si>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</si>
  <si>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</si>
  <si>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</si>
  <si>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</si>
  <si>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</si>
  <si>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</si>
  <si>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</si>
  <si>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</si>
  <si>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</si>
  <si>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</si>
  <si>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</si>
  <si>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</si>
  <si>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</si>
  <si>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</si>
  <si>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</si>
  <si>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</si>
  <si>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</si>
  <si>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</si>
  <si>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</si>
  <si>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</si>
  <si>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</si>
  <si>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</si>
  <si>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</si>
  <si>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</si>
  <si>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</si>
  <si>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</si>
  <si>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</si>
  <si>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</si>
  <si>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</si>
  <si>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</si>
  <si>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</si>
  <si>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</si>
  <si>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</si>
  <si>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</si>
  <si>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</si>
  <si>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</si>
  <si>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</si>
  <si>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</si>
  <si>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Streams</t>
  </si>
  <si>
    <t>Size</t>
  </si>
  <si>
    <t>MinSize</t>
  </si>
  <si>
    <t>MaxSize</t>
  </si>
  <si>
    <t>DefaultStep</t>
  </si>
  <si>
    <t>optVarType</t>
  </si>
  <si>
    <t>RAIL</t>
  </si>
  <si>
    <t>Rail</t>
  </si>
  <si>
    <t>DISCRETE</t>
  </si>
  <si>
    <t>Truck</t>
  </si>
  <si>
    <t>Pipeline</t>
  </si>
  <si>
    <t>Butane Truck</t>
  </si>
  <si>
    <t>Transport Methods</t>
  </si>
  <si>
    <t>Stream to Experiment</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</si>
  <si>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</si>
  <si>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</si>
  <si>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</si>
  <si>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</si>
  <si>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</si>
  <si>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</si>
  <si>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</si>
  <si>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</si>
  <si>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</si>
  <si>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</si>
  <si>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</si>
  <si>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</si>
  <si>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</si>
  <si>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</si>
  <si>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</si>
  <si>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</si>
  <si>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</si>
  <si>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</si>
  <si>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</si>
  <si>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</si>
  <si>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</si>
  <si>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</si>
  <si>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</si>
  <si>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</si>
  <si>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</si>
  <si>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</si>
  <si>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</si>
  <si>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</si>
  <si>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</si>
  <si>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</si>
  <si>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</si>
  <si>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</si>
  <si>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</si>
  <si>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</si>
  <si>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</si>
  <si>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</si>
  <si>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</si>
  <si>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</si>
  <si>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</si>
  <si>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</si>
  <si>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</si>
  <si>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</si>
  <si>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</si>
  <si>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</si>
  <si>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</si>
  <si>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</si>
  <si>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</si>
  <si>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</si>
  <si>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AMH</t>
  </si>
  <si>
    <t>AVB</t>
  </si>
  <si>
    <t>AWB</t>
  </si>
  <si>
    <t>BHB</t>
  </si>
  <si>
    <t>CL</t>
  </si>
  <si>
    <t>Cold Lake</t>
  </si>
  <si>
    <t>CNS</t>
  </si>
  <si>
    <t>CNRL Light Sweet Synthetic</t>
  </si>
  <si>
    <t>CPM</t>
  </si>
  <si>
    <t>GRH</t>
  </si>
  <si>
    <t>Grand Rapids Heavy</t>
  </si>
  <si>
    <t>KOC</t>
  </si>
  <si>
    <t>KRL</t>
  </si>
  <si>
    <t>Kearl</t>
  </si>
  <si>
    <t>MKH</t>
  </si>
  <si>
    <t>Mackay Heavy</t>
  </si>
  <si>
    <t>MSW</t>
  </si>
  <si>
    <t>Mixed Sweet</t>
  </si>
  <si>
    <t>OSH</t>
  </si>
  <si>
    <t>OSP</t>
  </si>
  <si>
    <t>OSQ</t>
  </si>
  <si>
    <t>OSS</t>
  </si>
  <si>
    <t>SUNCOR SYNTHETIC SOUR</t>
  </si>
  <si>
    <t>PAS</t>
  </si>
  <si>
    <t>Premium Albion Synthetic</t>
  </si>
  <si>
    <t>PCON</t>
  </si>
  <si>
    <t>PCR</t>
  </si>
  <si>
    <t>PCSR</t>
  </si>
  <si>
    <t>PEACE SOUR</t>
  </si>
  <si>
    <t>PEM</t>
  </si>
  <si>
    <t>PSC</t>
  </si>
  <si>
    <t>RBW</t>
  </si>
  <si>
    <t>SHB</t>
  </si>
  <si>
    <t>SURMOUNT HEAVY</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</si>
  <si>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</si>
  <si>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</si>
  <si>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</si>
  <si>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</si>
  <si>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</si>
  <si>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</si>
  <si>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</si>
  <si>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</si>
  <si>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</si>
  <si>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</si>
  <si>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</si>
  <si>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</si>
  <si>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</si>
  <si>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</si>
  <si>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</si>
  <si>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</si>
  <si>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</si>
  <si>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</si>
  <si>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</si>
  <si>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</si>
  <si>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</si>
  <si>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</si>
  <si>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</si>
  <si>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</si>
  <si>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</si>
  <si>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</si>
  <si>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</si>
  <si>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</si>
  <si>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</si>
  <si>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</si>
  <si>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</si>
  <si>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</si>
  <si>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</si>
  <si>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</si>
  <si>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</si>
  <si>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</si>
  <si>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</si>
  <si>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</si>
  <si>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</si>
  <si>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</si>
  <si>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</si>
  <si>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</si>
  <si>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</si>
  <si>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</si>
  <si>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</si>
  <si>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</si>
  <si>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</si>
  <si>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</si>
  <si>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</si>
  <si>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</si>
  <si>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</si>
  <si>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Catapult2</t>
  </si>
  <si>
    <t>Exclude Flag Type</t>
  </si>
  <si>
    <t>TOLL</t>
  </si>
  <si>
    <t>pipeline tariff</t>
  </si>
  <si>
    <t>unload cost</t>
  </si>
  <si>
    <t>ALLOWANCE</t>
  </si>
  <si>
    <t>loss allowance</t>
  </si>
  <si>
    <t>TARIFF</t>
  </si>
  <si>
    <t>pipeline tariff for pipe/MSB</t>
  </si>
  <si>
    <t>COST_ADJUSTMENTS</t>
  </si>
  <si>
    <t>Adjustment 0.15 USD/BBL</t>
  </si>
  <si>
    <t>SALES_ADJUSTMENTS</t>
  </si>
  <si>
    <t>Lease vol Alida to Cromer</t>
  </si>
  <si>
    <t>Adjustment 0.11 CAD/m3</t>
  </si>
  <si>
    <t>Mainline Out</t>
  </si>
  <si>
    <t>Total Density</t>
  </si>
  <si>
    <t>DENSITY</t>
  </si>
  <si>
    <t>Total TVP</t>
  </si>
  <si>
    <t>Total Revenue</t>
  </si>
  <si>
    <t>Total Sulfur</t>
  </si>
  <si>
    <t>SULFUR</t>
  </si>
  <si>
    <t>Total Outflow</t>
  </si>
  <si>
    <t>USD</t>
  </si>
  <si>
    <t>BBL</t>
  </si>
  <si>
    <t>P_LSB</t>
  </si>
  <si>
    <t>GAP</t>
  </si>
  <si>
    <t>P_MSB</t>
  </si>
  <si>
    <t>P_C4</t>
  </si>
  <si>
    <t>RELATIVE</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</si>
  <si>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</si>
  <si>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</si>
  <si>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</si>
  <si>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</si>
  <si>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</si>
  <si>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</si>
  <si>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</si>
  <si>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</si>
  <si>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</si>
  <si>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</si>
  <si>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</si>
  <si>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</si>
  <si>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WTD</t>
  </si>
  <si>
    <t>STREAM_NOV2016</t>
  </si>
  <si>
    <t>STREAM_DEC2016</t>
  </si>
  <si>
    <t>STREAM_JAN2017</t>
  </si>
  <si>
    <t>STREAM_FEB2017</t>
  </si>
  <si>
    <t>STREAM_MAR2017</t>
  </si>
  <si>
    <t>STREAM_APR2017</t>
  </si>
  <si>
    <t>STREAM_MAY2017</t>
  </si>
  <si>
    <t>STREAM_JUN2017</t>
  </si>
  <si>
    <t>STREAM_3_Streams</t>
  </si>
  <si>
    <t>STREAM_2_Facility</t>
  </si>
  <si>
    <t>STREAM_2_Streams</t>
  </si>
  <si>
    <t xml:space="preserve">2 Streams </t>
  </si>
  <si>
    <t>RefCommodityID</t>
  </si>
  <si>
    <t>P_WTI</t>
  </si>
  <si>
    <t>FIXED</t>
  </si>
  <si>
    <t>Site/Facility Constraints</t>
  </si>
  <si>
    <t>Supply to Stream Constraints</t>
  </si>
  <si>
    <t>FromSiteID</t>
  </si>
  <si>
    <t>TransportMethodID</t>
  </si>
  <si>
    <t>ToSiteID</t>
  </si>
  <si>
    <t>ToStreamID</t>
  </si>
  <si>
    <t>isSelected</t>
  </si>
  <si>
    <t>BlendSite01_ST01</t>
  </si>
  <si>
    <t>CNR Ltd</t>
  </si>
  <si>
    <t>Outlier Ltd</t>
  </si>
  <si>
    <t>Pembina</t>
  </si>
  <si>
    <t>7 Gen.</t>
  </si>
  <si>
    <t>Shipper_01</t>
  </si>
  <si>
    <t>Shipper_02</t>
  </si>
  <si>
    <t>BlendSite01</t>
  </si>
  <si>
    <t>BlendSite02</t>
  </si>
  <si>
    <t>BlendSite03</t>
  </si>
  <si>
    <t>Outlier Resources Ltd. (Acme)01</t>
  </si>
  <si>
    <t>Outlier 01</t>
  </si>
  <si>
    <t>Outlier 02</t>
  </si>
  <si>
    <t>Outlier 03</t>
  </si>
  <si>
    <t>Outlier 04</t>
  </si>
  <si>
    <t>Outlier 05</t>
  </si>
  <si>
    <t>7 Gen. 05</t>
  </si>
  <si>
    <t>7 Gen. 06</t>
  </si>
  <si>
    <t>7 Gen. 01</t>
  </si>
  <si>
    <t>7 Gen. 02</t>
  </si>
  <si>
    <t>7 Gen. 03</t>
  </si>
  <si>
    <t>7 Gen. 04</t>
  </si>
  <si>
    <t>ShippingSite01</t>
  </si>
  <si>
    <t>ShippingSite02</t>
  </si>
  <si>
    <t>ShippingSite03</t>
  </si>
  <si>
    <t>ShippingSite04</t>
  </si>
  <si>
    <t>ShippingSite05</t>
  </si>
  <si>
    <t>ShippingSite06</t>
  </si>
  <si>
    <t>ShippingSite07</t>
  </si>
  <si>
    <t>STREAM_3_Streams_v2</t>
  </si>
  <si>
    <t xml:space="preserve">3 Streams </t>
  </si>
  <si>
    <t>Mainline LSB [WADF]</t>
  </si>
  <si>
    <t>Mainline MSB-Midale [WADF]</t>
  </si>
  <si>
    <t>WestSpur [WADF]</t>
  </si>
  <si>
    <t>Alida to Alida (Plama Alida)</t>
  </si>
  <si>
    <t>Nov 2016 - 1 Str Max Revenue</t>
  </si>
  <si>
    <t>Dec 2016 - 1 Str Max Rev Min Dens</t>
  </si>
  <si>
    <t>January 2017</t>
  </si>
  <si>
    <t>February 2017</t>
  </si>
  <si>
    <t>March 2017</t>
  </si>
  <si>
    <t>April 2017</t>
  </si>
  <si>
    <t>May 2017</t>
  </si>
  <si>
    <t>June 2017</t>
  </si>
  <si>
    <t>STREAM_NOV2016_2</t>
  </si>
  <si>
    <t>Copy of Nov 2016 - 1 Str Max Revenue</t>
  </si>
  <si>
    <t>STREAM_FEB2017_2</t>
  </si>
  <si>
    <t>Copy of February 2017</t>
  </si>
  <si>
    <t>P_COND</t>
  </si>
  <si>
    <t>STREAM_JAN2017_2</t>
  </si>
  <si>
    <t>Copy of January 2017</t>
  </si>
  <si>
    <t>M3</t>
  </si>
  <si>
    <t>1</t>
  </si>
  <si>
    <t>CAD</t>
  </si>
  <si>
    <t>N002</t>
  </si>
  <si>
    <t>N003</t>
  </si>
  <si>
    <t>N004</t>
  </si>
  <si>
    <t>T68</t>
  </si>
  <si>
    <t>T69</t>
  </si>
  <si>
    <t>T70</t>
  </si>
  <si>
    <t>T71</t>
  </si>
  <si>
    <t>T72</t>
  </si>
  <si>
    <t>T73</t>
  </si>
  <si>
    <t>T74</t>
  </si>
  <si>
    <t>T75</t>
  </si>
  <si>
    <t>T76</t>
  </si>
  <si>
    <t>T77</t>
  </si>
  <si>
    <t>T78</t>
  </si>
  <si>
    <t>T79</t>
  </si>
  <si>
    <t>T80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</si>
</sst>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_ ;[Red]\-#,##0.00\ "/>
    <numFmt numFmtId="165" formatCode="[$-409]mmmm\ d\,\ yyyy;@"/>
  </numFmts>
  <fonts count="27">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font>
    <font>
      <sz val="11"/>
      <name val="Calibri"/>
      <family val="2"/>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amily val="2"/>
    </font>
    <font>
      <b/>
      <sz val="11"/>
      <color theme="1"/>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108">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3" fillId="0" borderId="0" xfId="0" applyNumberFormat="1" applyFont="1" applyAlignment="1">
      <alignment horizontal="center"/>
    </xf>
    <xf numFmtId="0" fontId="14" fillId="0" borderId="0" xfId="0" applyNumberFormat="1" applyFont="1" applyAlignment="1" applyProtection="1">
      <alignment horizontal="center" wrapText="1"/>
      <protection hidden="1"/>
    </xf>
    <xf numFmtId="0" fontId="13" fillId="0" borderId="0" xfId="0" applyNumberFormat="1" applyFont="1" applyAlignment="1">
      <alignment horizontal="left"/>
    </xf>
    <xf numFmtId="0" fontId="13" fillId="0" borderId="0" xfId="0" applyNumberFormat="1" applyFont="1" applyAlignment="1">
      <alignment horizontal="right"/>
    </xf>
    <xf numFmtId="0" fontId="9" fillId="0" borderId="0" xfId="0" applyNumberFormat="1" applyFont="1" applyAlignment="1">
      <alignment horizontal="center" vertic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Font="1" applyFill="1" applyBorder="1"/>
    <xf numFmtId="0" fontId="15" fillId="0" borderId="0" xfId="0" applyFont="1"/>
    <xf numFmtId="0" fontId="15" fillId="0" borderId="0" xfId="0" applyFont="1" applyAlignment="1">
      <alignment horizontal="center" vertical="center"/>
    </xf>
    <xf numFmtId="0" fontId="16" fillId="0" borderId="0" xfId="0" applyFont="1" applyFill="1" applyBorder="1" applyAlignment="1" applyProtection="1">
      <alignment wrapText="1"/>
      <protection hidden="1"/>
    </xf>
    <xf numFmtId="0" fontId="17" fillId="3" borderId="0" xfId="0" applyFont="1" applyFill="1" applyBorder="1" applyAlignment="1">
      <alignment horizontal="left" vertical="center"/>
    </xf>
    <xf numFmtId="0" fontId="15" fillId="3" borderId="0" xfId="0" applyFont="1" applyFill="1"/>
    <xf numFmtId="0" fontId="15" fillId="0" borderId="1" xfId="0" applyFont="1" applyBorder="1"/>
    <xf numFmtId="0" fontId="15" fillId="0" borderId="1" xfId="0" applyFont="1" applyBorder="1" applyAlignment="1">
      <alignment horizontal="center"/>
    </xf>
    <xf numFmtId="0" fontId="18" fillId="0" borderId="0" xfId="0" applyNumberFormat="1" applyFont="1" applyAlignment="1">
      <alignment horizontal="center" vertical="top" wrapText="1"/>
    </xf>
    <xf numFmtId="0" fontId="15" fillId="0" borderId="0" xfId="0" applyNumberFormat="1" applyFont="1" applyAlignment="1">
      <alignment horizontal="center" vertical="top" wrapText="1"/>
    </xf>
    <xf numFmtId="0" fontId="15" fillId="0" borderId="0" xfId="0" applyFont="1" applyAlignment="1">
      <alignment wrapText="1"/>
    </xf>
    <xf numFmtId="0" fontId="19" fillId="0" borderId="0" xfId="0" applyFont="1" applyFill="1" applyBorder="1" applyAlignment="1" applyProtection="1">
      <alignment wrapText="1"/>
      <protection hidden="1"/>
    </xf>
    <xf numFmtId="0" fontId="20" fillId="0" borderId="0" xfId="0" applyNumberFormat="1" applyFont="1" applyAlignment="1">
      <alignment horizontal="center"/>
    </xf>
    <xf numFmtId="0" fontId="15" fillId="0" borderId="0" xfId="0" applyNumberFormat="1" applyFont="1" applyAlignment="1">
      <alignment horizontal="center"/>
    </xf>
    <xf numFmtId="0" fontId="20" fillId="0" borderId="0" xfId="0" applyNumberFormat="1" applyFont="1" applyAlignment="1">
      <alignment horizontal="center" vertical="center"/>
    </xf>
    <xf numFmtId="0" fontId="20" fillId="0" borderId="0" xfId="0" applyNumberFormat="1" applyFont="1" applyAlignment="1">
      <alignment horizontal="left"/>
    </xf>
    <xf numFmtId="14" fontId="20" fillId="0" borderId="0" xfId="0" applyNumberFormat="1" applyFont="1" applyAlignment="1">
      <alignment horizontal="center"/>
    </xf>
    <xf numFmtId="0" fontId="21" fillId="0" borderId="0" xfId="0" applyNumberFormat="1" applyFont="1" applyAlignment="1">
      <alignment horizontal="center"/>
    </xf>
    <xf numFmtId="0" fontId="20" fillId="0" borderId="0" xfId="0" applyNumberFormat="1" applyFont="1" applyAlignment="1">
      <alignment horizontal="right"/>
    </xf>
    <xf numFmtId="0" fontId="22" fillId="0" borderId="1" xfId="0" applyFont="1" applyBorder="1"/>
    <xf numFmtId="0" fontId="8" fillId="3" borderId="2" xfId="0" applyFont="1" applyFill="1" applyBorder="1" applyAlignment="1">
      <alignmen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3" fillId="0" borderId="0" xfId="0" applyNumberFormat="1" applyFont="1"/>
    <xf numFmtId="0" fontId="22" fillId="0" borderId="0" xfId="0" applyFont="1" applyBorder="1"/>
    <xf numFmtId="0" fontId="0" fillId="0" borderId="0" xfId="0" applyBorder="1"/>
    <xf numFmtId="0" fontId="0" fillId="0" borderId="0" xfId="0" applyNumberFormat="1" applyFont="1" applyAlignment="1">
      <alignment horizontal="center" vertical="top" wrapText="1"/>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23" fillId="0" borderId="0" xfId="0" applyNumberFormat="1" applyFont="1" applyAlignment="1">
      <alignment horizontal="center"/>
    </xf>
    <xf numFmtId="0" fontId="24" fillId="0" borderId="0" xfId="0" applyNumberFormat="1" applyFont="1" applyAlignment="1" applyProtection="1">
      <alignment horizontal="center" wrapText="1"/>
      <protection hidden="1"/>
    </xf>
    <xf numFmtId="0" fontId="23" fillId="0" borderId="0" xfId="0" applyNumberFormat="1" applyFont="1" applyAlignment="1">
      <alignment horizontal="center" vertical="center"/>
    </xf>
    <xf numFmtId="0" fontId="23" fillId="0" borderId="0" xfId="0" applyNumberFormat="1" applyFont="1" applyAlignment="1">
      <alignment horizontal="right"/>
    </xf>
    <xf numFmtId="0" fontId="15" fillId="0" borderId="0" xfId="0" applyFont="1" applyAlignment="1">
      <alignment horizontal="center"/>
    </xf>
    <xf numFmtId="0" fontId="15" fillId="3" borderId="0" xfId="0" applyFont="1" applyFill="1" applyAlignment="1">
      <alignment horizontal="center"/>
    </xf>
    <xf numFmtId="0" fontId="0" fillId="3" borderId="0" xfId="0" applyFill="1" applyAlignment="1">
      <alignment horizontal="center"/>
    </xf>
    <xf numFmtId="0" fontId="8" fillId="3" borderId="0" xfId="0" applyFont="1" applyFill="1" applyBorder="1" applyAlignment="1">
      <alignment horizontal="center" vertical="center"/>
    </xf>
    <xf numFmtId="0" fontId="8" fillId="3" borderId="2" xfId="0" applyFont="1" applyFill="1" applyBorder="1" applyAlignment="1">
      <alignment horizontal="center" vertical="center"/>
    </xf>
    <xf numFmtId="0" fontId="25" fillId="0" borderId="0" xfId="0" applyNumberFormat="1" applyFont="1" applyAlignment="1">
      <alignment horizontal="center"/>
    </xf>
    <xf numFmtId="0" fontId="26" fillId="0" borderId="0" xfId="0" applyNumberFormat="1" applyFont="1" applyAlignment="1" applyProtection="1">
      <alignment horizontal="center" wrapText="1"/>
      <protection hidden="1"/>
    </xf>
    <xf numFmtId="0" fontId="25" fillId="0" borderId="0" xfId="0" applyNumberFormat="1" applyFont="1" applyAlignment="1">
      <alignment horizontal="center" vertical="center"/>
    </xf>
    <xf numFmtId="0" fontId="25" fillId="0" borderId="0" xfId="0" applyNumberFormat="1" applyFont="1" applyAlignment="1">
      <alignment horizontal="left"/>
    </xf>
    <xf numFmtId="0" fontId="25" fillId="0" borderId="0" xfId="0" applyNumberFormat="1" applyFont="1" applyAlignment="1">
      <alignment horizontal="right"/>
    </xf>
    <xf numFmtId="0" fontId="25" fillId="0" borderId="0" xfId="0" applyNumberFormat="1" applyFont="1" applyAlignment="1" applyProtection="1">
      <alignment horizontal="center" wrapText="1"/>
      <protection hidden="1"/>
    </xf>
    <xf numFmtId="0" fontId="25" fillId="0" borderId="0" xfId="0" applyNumberFormat="1" applyFont="1" applyAlignment="1" applyProtection="1">
      <alignment horizontal="center" vertical="center" wrapText="1"/>
      <protection hidden="1"/>
    </xf>
    <xf numFmtId="0" fontId="26" fillId="0" borderId="0" xfId="0" applyNumberFormat="1" applyFont="1" applyAlignment="1" applyProtection="1">
      <alignment horizontal="center" vertical="center" wrapText="1"/>
      <protection hidden="1"/>
    </xf>
    <xf numFmtId="0" fontId="25" fillId="0" borderId="0" xfId="0" applyNumberFormat="1" applyFont="1" applyAlignment="1">
      <alignment horizontal="left" vertical="center"/>
    </xf>
    <xf numFmtId="14" fontId="25" fillId="0" borderId="0" xfId="0" applyNumberFormat="1" applyFont="1"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7" fillId="3" borderId="2" xfId="0" applyFont="1" applyFill="1" applyBorder="1" applyAlignment="1">
      <alignment horizontal="left" vertical="center"/>
    </xf>
  </cellXfs>
  <cellStyles count="2">
    <cellStyle name="Normal" xfId="0" builtinId="0"/>
    <cellStyle name="Normal 2 3" xfId="1" xr:uid="{00000000-0005-0000-0000-000001000000}"/>
  </cellStyles>
  <dxfs count="346">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1" indent="0" justifyLastLine="0" shrinkToFit="0" readingOrder="0"/>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fill>
        <patternFill patternType="none">
          <bgColor auto="1"/>
        </patternFill>
      </fill>
    </dxf>
  </dxfs>
  <tableStyles count="1" defaultTableStyle="TableStyleMedium2" defaultPivotStyle="PivotStyleLight16">
    <tableStyle name="Slicer Style 1" pivot="0" table="0" count="1" xr9:uid="{00000000-0011-0000-FFFF-FFFF00000000}">
      <tableStyleElement type="wholeTable" dxfId="34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7/relationships/slicerCache" Target="slicerCaches/slicerCache8.xml"/><Relationship Id="rId39" Type="http://schemas.openxmlformats.org/officeDocument/2006/relationships/customXml" Target="../customXml/item3.xml"/><Relationship Id="rId21" Type="http://schemas.microsoft.com/office/2007/relationships/slicerCache" Target="slicerCaches/slicerCache3.xml"/><Relationship Id="rId34" Type="http://schemas.openxmlformats.org/officeDocument/2006/relationships/styles" Target="styles.xml"/><Relationship Id="rId42"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5.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6.xml"/><Relationship Id="rId32" Type="http://schemas.microsoft.com/office/2007/relationships/slicerCache" Target="slicerCaches/slicerCache14.xml"/><Relationship Id="rId37" Type="http://schemas.openxmlformats.org/officeDocument/2006/relationships/customXml" Target="../customXml/item1.xml"/><Relationship Id="rId40" Type="http://schemas.openxmlformats.org/officeDocument/2006/relationships/customXml" Target="../customXml/item4.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alcChain" Target="calcChain.xml"/><Relationship Id="rId10" Type="http://schemas.openxmlformats.org/officeDocument/2006/relationships/worksheet" Target="worksheets/sheet9.xml"/><Relationship Id="rId19" Type="http://schemas.microsoft.com/office/2007/relationships/slicerCache" Target="slicerCaches/slicerCache1.xml"/><Relationship Id="rId31" Type="http://schemas.microsoft.com/office/2007/relationships/slicerCache" Target="slicerCaches/slicerCache13.xml"/><Relationship Id="rId44" Type="http://schemas.openxmlformats.org/officeDocument/2006/relationships/customXml" Target="../customXml/item8.xml"/><Relationship Id="rId4" Type="http://schemas.openxmlformats.org/officeDocument/2006/relationships/worksheet" Target="worksheets/sheet4.xml"/><Relationship Id="rId9" Type="http://schemas.microsoft.com/office/2006/relationships/xlMacrosheet" Target="macrosheets/sheet1.xml"/><Relationship Id="rId14" Type="http://schemas.openxmlformats.org/officeDocument/2006/relationships/worksheet" Target="worksheets/sheet13.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openxmlformats.org/officeDocument/2006/relationships/sharedStrings" Target="sharedStrings.xml"/><Relationship Id="rId43"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1.xml"/><Relationship Id="rId17" Type="http://schemas.openxmlformats.org/officeDocument/2006/relationships/worksheet" Target="worksheets/sheet16.xml"/><Relationship Id="rId25" Type="http://schemas.microsoft.com/office/2007/relationships/slicerCache" Target="slicerCaches/slicerCache7.xml"/><Relationship Id="rId33" Type="http://schemas.openxmlformats.org/officeDocument/2006/relationships/theme" Target="theme/theme1.xml"/><Relationship Id="rId38" Type="http://schemas.openxmlformats.org/officeDocument/2006/relationships/customXml" Target="../customXml/item2.xml"/><Relationship Id="rId20" Type="http://schemas.microsoft.com/office/2007/relationships/slicerCache" Target="slicerCaches/slicerCache2.xml"/><Relationship Id="rId41"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172220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1"/>
              <a:ext cx="4145032" cy="586485"/>
              <a:chOff x="477468" y="2445569"/>
              <a:chExt cx="2693958" cy="585629"/>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9"/>
                <a:ext cx="2685938" cy="247592"/>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1797982</xdr:colOff>
      <xdr:row>1</xdr:row>
      <xdr:rowOff>171450</xdr:rowOff>
    </xdr:from>
    <xdr:to>
      <xdr:col>6</xdr:col>
      <xdr:colOff>467471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579904</xdr:colOff>
      <xdr:row>1</xdr:row>
      <xdr:rowOff>171450</xdr:rowOff>
    </xdr:from>
    <xdr:to>
      <xdr:col>10</xdr:col>
      <xdr:colOff>828675</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800-000000000000}">
  <sheetPr>
    <tabColor rgb="FF92D050"/>
  </sheetPr>
  <dimension ref="A1"/>
  <sheetViews>
    <sheetView showFormulas="1" workbookViewId="0"/>
  </sheetViews>
  <sheetFormatPr defaultRowHeight="15"/>
  <sheetData/>
  <pageMargins left="0.7" right="0.7" top="0.75" bottom="0.75" header="0.3" footer="0.3"/>
</xm:macro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 xr10:uid="{00000000-0013-0000-FFFF-FFFF01000000}"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ment_Title" xr10:uid="{00000000-0013-0000-FFFF-FFFF02000000}"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 xr10:uid="{00000000-0013-0000-FFFF-FFFF03000000}"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 xr10:uid="{00000000-0013-0000-FFFF-FFFF04000000}"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 xr10:uid="{00000000-0013-0000-FFFF-FFFF05000000}"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 xr10:uid="{00000000-0013-0000-FFFF-FFFF06000000}"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1" xr10:uid="{00000000-0013-0000-FFFF-FFFF07000000}"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11" xr10:uid="{00000000-0013-0000-FFFF-FFFF08000000}"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111" xr10:uid="{00000000-0013-0000-FFFF-FFFF09000000}"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 xr10:uid="{00000000-0013-0000-FFFF-FFFF0A000000}"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2" xr10:uid="{00000000-0013-0000-FFFF-FFFF0B000000}"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21" xr10:uid="{00000000-0013-0000-FFFF-FFFF0C000000}"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2" xr10:uid="{00000000-0013-0000-FFFF-FFFF0D000000}"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3" xr10:uid="{00000000-0013-0000-FFFF-FFFF0E000000}"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xr10:uid="{00000000-0014-0000-FFFF-FFFF01000000}" cache="Slicer_Active" caption="Active" columnCount="3" style="SlicerStyleDark2" rowHeight="182880"/>
  <slicer name="Experiment Title" xr10:uid="{00000000-0014-0000-FFFF-FFFF02000000}"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9" xr10:uid="{00000000-0014-0000-FFFF-FFFF03000000}"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30" xr10:uid="{00000000-0014-0000-FFFF-FFFF0400000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0" xr10:uid="{00000000-0014-0000-FFFF-FFFF0500000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1" xr10:uid="{00000000-0014-0000-FFFF-FFFF06000000}"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7" xr10:uid="{00000000-0014-0000-FFFF-FFFF07000000}"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3" xr10:uid="{00000000-0014-0000-FFFF-FFFF08000000}" cache="Slicer_Active7111112"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2" xr10:uid="{00000000-0014-0000-FFFF-FFFF09000000}" cache="Slicer_Active7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6" xr10:uid="{00000000-0014-0000-FFFF-FFFF0A000000}"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19" xr10:uid="{00000000-0014-0000-FFFF-FFFF0B000000}" cache="Slicer_Active7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4" xr10:uid="{00000000-0014-0000-FFFF-FFFF0C000000}" cache="Slicer_Active7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8" xr10:uid="{00000000-0014-0000-FFFF-FFFF0D000000}" cache="Slicer_Active7111112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5" xr10:uid="{00000000-0014-0000-FFFF-FFFF0E000000}" cache="Slicer_Active711111111111" caption="Active"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0000000}" name="Experiments" displayName="Experiments" ref="B8:R23" totalsRowShown="0" headerRowDxfId="334" dataDxfId="333">
  <autoFilter ref="B8:R23" xr:uid="{00000000-0009-0000-0100-000011000000}"/>
  <sortState ref="B9:N9">
    <sortCondition ref="E8:E9"/>
  </sortState>
  <tableColumns count="17">
    <tableColumn id="16" xr3:uid="{00000000-0010-0000-0000-000010000000}" name="V" dataDxfId="332">
      <calculatedColumnFormula>IF(Experiments[[#This Row],[Active]]=TRUE,1,0)</calculatedColumnFormula>
    </tableColumn>
    <tableColumn id="11" xr3:uid="{00000000-0010-0000-0000-00000B000000}" name="Active" dataDxfId="331"/>
    <tableColumn id="2" xr3:uid="{00000000-0010-0000-0000-000002000000}" name="Code" dataDxfId="330"/>
    <tableColumn id="1" xr3:uid="{00000000-0010-0000-0000-000001000000}" name="Name" dataDxfId="329"/>
    <tableColumn id="13" xr3:uid="{00000000-0010-0000-0000-00000D000000}" name="Description" dataDxfId="328"/>
    <tableColumn id="7" xr3:uid="{00000000-0010-0000-0000-000007000000}" name="Currency" dataDxfId="327"/>
    <tableColumn id="10" xr3:uid="{00000000-0010-0000-0000-00000A000000}" name="Auto Stop" dataDxfId="326"/>
    <tableColumn id="3" xr3:uid="{00000000-0010-0000-0000-000003000000}" name="Iterations" dataDxfId="325"/>
    <tableColumn id="5" xr3:uid="{00000000-0010-0000-0000-000005000000}" name="Maximum Run Duration" dataDxfId="324"/>
    <tableColumn id="6" xr3:uid="{00000000-0010-0000-0000-000006000000}" name="Exchange Rate" dataDxfId="323"/>
    <tableColumn id="8" xr3:uid="{00000000-0010-0000-0000-000008000000}" name="Year" dataDxfId="322"/>
    <tableColumn id="9" xr3:uid="{00000000-0010-0000-0000-000009000000}" name="Month" dataDxfId="321"/>
    <tableColumn id="12" xr3:uid="{00000000-0010-0000-0000-00000C000000}" name="Factor (Barrel)" dataDxfId="320"/>
    <tableColumn id="4" xr3:uid="{00000000-0010-0000-0000-000004000000}" name="Advanced Optimization Setup" dataDxfId="319"/>
    <tableColumn id="15" xr3:uid="{00000000-0010-0000-0000-00000F000000}" name="Custom Variability Configuration" dataDxfId="318"/>
    <tableColumn id="17" xr3:uid="{00000000-0010-0000-0000-000011000000}" name="isSelected" dataDxfId="317"/>
    <tableColumn id="14" xr3:uid="{00000000-0010-0000-0000-00000E000000}" name="ID" dataDxfId="316"/>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OptObjective" displayName="OptObjective" ref="B4:K12" totalsRowShown="0" headerRowDxfId="312" dataDxfId="311">
  <autoFilter ref="B4:K12" xr:uid="{00000000-0009-0000-0100-00000C000000}"/>
  <sortState ref="B5:K5">
    <sortCondition ref="E4:E5"/>
  </sortState>
  <tableColumns count="10">
    <tableColumn id="14" xr3:uid="{00000000-0010-0000-0100-00000E000000}" name="L" dataDxfId="310" totalsRowDxfId="309">
      <calculatedColumnFormula>IF(OptObjective[[#This Row],[Active]]=TRUE,1,0)</calculatedColumnFormula>
    </tableColumn>
    <tableColumn id="8" xr3:uid="{00000000-0010-0000-0100-000008000000}" name="Active" dataDxfId="308" totalsRowDxfId="307"/>
    <tableColumn id="16" xr3:uid="{00000000-0010-0000-0100-000010000000}" name="Code" dataDxfId="306"/>
    <tableColumn id="17" xr3:uid="{00000000-0010-0000-0100-000011000000}" name="Order" dataDxfId="305"/>
    <tableColumn id="2" xr3:uid="{00000000-0010-0000-0100-000002000000}" name="Objective Type" dataDxfId="304"/>
    <tableColumn id="3" xr3:uid="{00000000-0010-0000-0100-000003000000}" name="Optimization Type" dataDxfId="303"/>
    <tableColumn id="4" xr3:uid="{00000000-0010-0000-0100-000004000000}" name="Weight" dataDxfId="302"/>
    <tableColumn id="1" xr3:uid="{00000000-0010-0000-0100-000001000000}" name="Comments" dataDxfId="301"/>
    <tableColumn id="5" xr3:uid="{00000000-0010-0000-0100-000005000000}" name="Experiment" dataDxfId="300"/>
    <tableColumn id="10" xr3:uid="{00000000-0010-0000-0100-00000A000000}" name="ID" dataDxfId="299"/>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Commodities" displayName="Commodities" ref="B4:N40" totalsRowShown="0" headerRowDxfId="291" dataDxfId="290">
  <autoFilter ref="B4:N40" xr:uid="{00000000-0009-0000-0100-00000E000000}"/>
  <tableColumns count="13">
    <tableColumn id="14" xr3:uid="{00000000-0010-0000-0200-00000E000000}" name="L" dataDxfId="289" totalsRowDxfId="288">
      <calculatedColumnFormula>IF(Commodities[[#This Row],[Active]]=TRUE,1,0)</calculatedColumnFormula>
    </tableColumn>
    <tableColumn id="8" xr3:uid="{00000000-0010-0000-0200-000008000000}" name="Active" dataDxfId="287" totalsRowDxfId="286"/>
    <tableColumn id="16" xr3:uid="{00000000-0010-0000-0200-000010000000}" name="Code" dataDxfId="285"/>
    <tableColumn id="17" xr3:uid="{00000000-0010-0000-0200-000011000000}" name="Name" dataDxfId="284"/>
    <tableColumn id="1" xr3:uid="{00000000-0010-0000-0200-000001000000}" name="Color" dataDxfId="283"/>
    <tableColumn id="5" xr3:uid="{00000000-0010-0000-0200-000005000000}" name="Battery Calculation" dataDxfId="282"/>
    <tableColumn id="4" xr3:uid="{00000000-0010-0000-0200-000004000000}" name="Material Type" dataDxfId="281"/>
    <tableColumn id="3" xr3:uid="{00000000-0010-0000-0200-000003000000}" name="Product Type" dataDxfId="280"/>
    <tableColumn id="6" xr3:uid="{00000000-0010-0000-0200-000006000000}" name="Benchmark" dataDxfId="279"/>
    <tableColumn id="2" xr3:uid="{00000000-0010-0000-0200-000002000000}" name="Comments" dataDxfId="278"/>
    <tableColumn id="9" xr3:uid="{00000000-0010-0000-0200-000009000000}" name="MaterialTypeID" dataDxfId="277">
      <calculatedColumnFormula>IF(Commodities[[#This Row],[Material Type]]="","",INDEX(MaterialTypes[ID],MATCH(Commodities[[#This Row],[Material Type]],MaterialTypes[Code],0)))</calculatedColumnFormula>
    </tableColumn>
    <tableColumn id="7" xr3:uid="{00000000-0010-0000-0200-000007000000}" name="ProductTypeID" dataDxfId="276">
      <calculatedColumnFormula>IF(Commodities[[#This Row],[Product Type]]="","",INDEX(ProductTypes[ID],MATCH(Commodities[[#This Row],[Product Type]],ProductTypes[Code],0)))</calculatedColumnFormula>
    </tableColumn>
    <tableColumn id="10" xr3:uid="{00000000-0010-0000-0200-00000A000000}" name="ID" dataDxfId="275"/>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Shippers" displayName="Shippers" ref="B4:G40" totalsRowShown="0" headerRowDxfId="271" dataDxfId="270">
  <autoFilter ref="B4:G40" xr:uid="{00000000-0009-0000-0100-000003000000}"/>
  <tableColumns count="6">
    <tableColumn id="14" xr3:uid="{00000000-0010-0000-0300-00000E000000}" name="L" dataDxfId="269" totalsRowDxfId="268">
      <calculatedColumnFormula>IF(Shippers[[#This Row],[Active]]=TRUE,1,0)</calculatedColumnFormula>
    </tableColumn>
    <tableColumn id="8" xr3:uid="{00000000-0010-0000-0300-000008000000}" name="Active" dataDxfId="267" totalsRowDxfId="266"/>
    <tableColumn id="16" xr3:uid="{00000000-0010-0000-0300-000010000000}" name="Code" dataDxfId="265"/>
    <tableColumn id="17" xr3:uid="{00000000-0010-0000-0300-000011000000}" name="Name" dataDxfId="264"/>
    <tableColumn id="1" xr3:uid="{00000000-0010-0000-0300-000001000000}" name="Comments" dataDxfId="263"/>
    <tableColumn id="10" xr3:uid="{00000000-0010-0000-0300-00000A000000}" name="ID" dataDxfId="262"/>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Sites" displayName="Sites" ref="B4:M74" totalsRowShown="0" headerRowDxfId="258" dataDxfId="257">
  <autoFilter ref="B4:M74" xr:uid="{00000000-0009-0000-0100-000004000000}"/>
  <sortState ref="B5:M5">
    <sortCondition ref="D4:D5"/>
  </sortState>
  <tableColumns count="12">
    <tableColumn id="14" xr3:uid="{00000000-0010-0000-0400-00000E000000}" name="L" dataDxfId="256" totalsRowDxfId="255">
      <calculatedColumnFormula>IF(Sites[[#This Row],[Active]]=TRUE,1,0)</calculatedColumnFormula>
    </tableColumn>
    <tableColumn id="8" xr3:uid="{00000000-0010-0000-0400-000008000000}" name="Active" dataDxfId="254" totalsRowDxfId="253"/>
    <tableColumn id="16" xr3:uid="{00000000-0010-0000-0400-000010000000}" name="Code" dataDxfId="252"/>
    <tableColumn id="17" xr3:uid="{00000000-0010-0000-0400-000011000000}" name="Name" dataDxfId="251"/>
    <tableColumn id="18" xr3:uid="{00000000-0010-0000-0400-000012000000}" name="Shipper" dataDxfId="250"/>
    <tableColumn id="1" xr3:uid="{00000000-0010-0000-0400-000001000000}" name="X" dataDxfId="249"/>
    <tableColumn id="21" xr3:uid="{00000000-0010-0000-0400-000015000000}" name="Y" dataDxfId="248"/>
    <tableColumn id="2" xr3:uid="{00000000-0010-0000-0400-000002000000}" name="Z" dataDxfId="247"/>
    <tableColumn id="3" xr3:uid="{00000000-0010-0000-0400-000003000000}" name="Address" dataDxfId="246"/>
    <tableColumn id="4" xr3:uid="{00000000-0010-0000-0400-000004000000}" name="Comments" dataDxfId="245"/>
    <tableColumn id="5" xr3:uid="{00000000-0010-0000-0400-000005000000}" name="ShipperID" dataDxfId="244">
      <calculatedColumnFormula>IF(Sites[[#This Row],[Shipper]]="","",INDEX(Shippers[ID],MATCH(Sites[[#This Row],[Shipper]],Shippers[Code],0)))</calculatedColumnFormula>
    </tableColumn>
    <tableColumn id="10" xr3:uid="{00000000-0010-0000-0400-00000A000000}" name="ID" dataDxfId="243"/>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Streams" displayName="Streams" ref="B4:Q5" insertRow="1" totalsRowShown="0" headerRowDxfId="239" dataDxfId="238">
  <autoFilter ref="B4:Q5" xr:uid="{00000000-0009-0000-0100-00000A000000}"/>
  <tableColumns count="16">
    <tableColumn id="14" xr3:uid="{00000000-0010-0000-0500-00000E000000}" name="L" dataDxfId="237" totalsRowDxfId="236">
      <calculatedColumnFormula>IF(Streams[[#This Row],[Active]]=TRUE,1,0)</calculatedColumnFormula>
    </tableColumn>
    <tableColumn id="8" xr3:uid="{00000000-0010-0000-0500-000008000000}" name="Active" dataDxfId="235" totalsRowDxfId="234"/>
    <tableColumn id="16" xr3:uid="{00000000-0010-0000-0500-000010000000}" name="Code" dataDxfId="233"/>
    <tableColumn id="2" xr3:uid="{00000000-0010-0000-0500-000002000000}" name="Name" dataDxfId="232"/>
    <tableColumn id="20" xr3:uid="{00000000-0010-0000-0500-000014000000}" name="Shipper" dataDxfId="231"/>
    <tableColumn id="21" xr3:uid="{00000000-0010-0000-0500-000015000000}" name="Site" dataDxfId="230"/>
    <tableColumn id="4" xr3:uid="{00000000-0010-0000-0500-000004000000}" name="Destination Shipper" dataDxfId="229"/>
    <tableColumn id="3" xr3:uid="{00000000-0010-0000-0500-000003000000}" name="Destination Site" dataDxfId="228"/>
    <tableColumn id="22" xr3:uid="{00000000-0010-0000-0500-000016000000}" name="Transport Method" dataDxfId="227"/>
    <tableColumn id="1" xr3:uid="{00000000-0010-0000-0500-000001000000}" name="Comments"/>
    <tableColumn id="6" xr3:uid="{00000000-0010-0000-0500-000006000000}" name="ShipperID" dataDxfId="226">
      <calculatedColumnFormula>IF(Streams[[#This Row],[Shipper]]="","",INDEX(Shippers[ID],MATCH(Streams[[#This Row],[Shipper]],Shippers[Code],0)))</calculatedColumnFormula>
    </tableColumn>
    <tableColumn id="7" xr3:uid="{00000000-0010-0000-0500-000007000000}" name="SiteID" dataDxfId="225">
      <calculatedColumnFormula>IF(Streams[[#This Row],[Site]]="","",INDEX(Sites[ID],MATCH(Streams[[#This Row],[Site]],Sites[Code],0)))</calculatedColumnFormula>
    </tableColumn>
    <tableColumn id="9" xr3:uid="{00000000-0010-0000-0500-000009000000}" name="DestinationShipperID" dataDxfId="224">
      <calculatedColumnFormula>IF(Streams[[#This Row],[Destination Shipper]]="","",INDEX(Shippers[ID],MATCH(Streams[[#This Row],[Destination Shipper]],Shippers[Code],0)))</calculatedColumnFormula>
    </tableColumn>
    <tableColumn id="11" xr3:uid="{00000000-0010-0000-0500-00000B000000}" name="DestinationSiteID" dataDxfId="223">
      <calculatedColumnFormula>IF(Streams[[#This Row],[Destination Site]]="","",INDEX(Sites[ID],MATCH(Streams[[#This Row],[Destination Site]],Sites[Code],0)))</calculatedColumnFormula>
    </tableColumn>
    <tableColumn id="12" xr3:uid="{00000000-0010-0000-0500-00000C000000}" name="TransportTypeID" dataDxfId="222">
      <calculatedColumnFormula>IF(Streams[[#This Row],[Transport Method]]="","",INDEX(TransportMethods[ID],MATCH(Streams[[#This Row],[Transport Method]],TransportMethods[Code],0)))</calculatedColumnFormula>
    </tableColumn>
    <tableColumn id="10" xr3:uid="{00000000-0010-0000-0500-00000A000000}" name="ID" dataDxfId="221"/>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Stream2Experiment" displayName="Stream2Experiment" ref="B4:H5" totalsRowShown="0" headerRowDxfId="217" dataDxfId="216">
  <autoFilter ref="B4:H5" xr:uid="{00000000-0009-0000-0100-00000B000000}"/>
  <sortState ref="B5:H5">
    <sortCondition descending="1" ref="C4:C5"/>
  </sortState>
  <tableColumns count="7">
    <tableColumn id="14" xr3:uid="{00000000-0010-0000-0600-00000E000000}" name="L" dataDxfId="215" totalsRowDxfId="214">
      <calculatedColumnFormula>IF(Stream2Experiment[[#This Row],[Active]]=TRUE,1,0)</calculatedColumnFormula>
    </tableColumn>
    <tableColumn id="8" xr3:uid="{00000000-0010-0000-0600-000008000000}" name="Active" dataDxfId="213" totalsRowDxfId="212"/>
    <tableColumn id="12" xr3:uid="{00000000-0010-0000-0600-00000C000000}" name="Stream" dataDxfId="211"/>
    <tableColumn id="1" xr3:uid="{00000000-0010-0000-0600-000001000000}" name="Comments" dataDxfId="210"/>
    <tableColumn id="3" xr3:uid="{00000000-0010-0000-0600-000003000000}" name="StreamID" dataDxfId="209">
      <calculatedColumnFormula>IF(Stream2Experiment[[#This Row],[Stream]]="","",INDEX(Streams[ID],MATCH(Stream2Experiment[[#This Row],[Stream]],Streams[Code],0)))</calculatedColumnFormula>
    </tableColumn>
    <tableColumn id="9" xr3:uid="{00000000-0010-0000-0600-000009000000}" name="Experiment" dataDxfId="208"/>
    <tableColumn id="10" xr3:uid="{00000000-0010-0000-0600-00000A000000}" name="ID" dataDxfId="207"/>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ProductCosts" displayName="ProductCosts" ref="B4:W9" totalsRowShown="0" headerRowDxfId="203" dataDxfId="202">
  <autoFilter ref="B4:W9" xr:uid="{00000000-0009-0000-0100-000005000000}"/>
  <sortState ref="B4:X4">
    <sortCondition ref="D4"/>
  </sortState>
  <tableColumns count="22">
    <tableColumn id="14" xr3:uid="{00000000-0010-0000-0700-00000E000000}" name="L" dataDxfId="201" totalsRowDxfId="200">
      <calculatedColumnFormula>IF(ProductCosts[[#This Row],[Active]]=TRUE,1,0)</calculatedColumnFormula>
    </tableColumn>
    <tableColumn id="8" xr3:uid="{00000000-0010-0000-0700-000008000000}" name="Active" dataDxfId="199" totalsRowDxfId="198"/>
    <tableColumn id="16" xr3:uid="{00000000-0010-0000-0700-000010000000}" name="Code" dataDxfId="197"/>
    <tableColumn id="17" xr3:uid="{00000000-0010-0000-0700-000011000000}" name="Material Type" dataDxfId="196"/>
    <tableColumn id="18" xr3:uid="{00000000-0010-0000-0700-000012000000}" name="Cost Rule" dataDxfId="195"/>
    <tableColumn id="13" xr3:uid="{00000000-0010-0000-0700-00000D000000}" name="Reference Commodity" dataDxfId="194"/>
    <tableColumn id="21" xr3:uid="{00000000-0010-0000-0700-000015000000}" name="Order" dataDxfId="193"/>
    <tableColumn id="3" xr3:uid="{00000000-0010-0000-0700-000003000000}" name="Cost" dataDxfId="192"/>
    <tableColumn id="2" xr3:uid="{00000000-0010-0000-0700-000002000000}" name="Currency" dataDxfId="191"/>
    <tableColumn id="1" xr3:uid="{00000000-0010-0000-0700-000001000000}" name="Unit" dataDxfId="190"/>
    <tableColumn id="15" xr3:uid="{00000000-0010-0000-0700-00000F000000}" name="Cost Variability Std" dataDxfId="189"/>
    <tableColumn id="4" xr3:uid="{00000000-0010-0000-0700-000004000000}" name="Minimum Density" dataDxfId="188"/>
    <tableColumn id="11" xr3:uid="{00000000-0010-0000-0700-00000B000000}" name="Maximum Density" dataDxfId="187"/>
    <tableColumn id="9" xr3:uid="{00000000-0010-0000-0700-000009000000}" name="Minimum Sulfur" dataDxfId="186"/>
    <tableColumn id="7" xr3:uid="{00000000-0010-0000-0700-000007000000}" name="Maximum Sulfur" dataDxfId="185"/>
    <tableColumn id="6" xr3:uid="{00000000-0010-0000-0700-000006000000}" name="Minimum TVP" dataDxfId="184"/>
    <tableColumn id="12" xr3:uid="{00000000-0010-0000-0700-00000C000000}" name="Maximum TVP" dataDxfId="183"/>
    <tableColumn id="22" xr3:uid="{00000000-0010-0000-0700-000016000000}" name="RefCommodityID" dataDxfId="182">
      <calculatedColumnFormula>IF(ProductCosts[[#This Row],[Reference Commodity]]="","",INDEX(Commodities[ID],MATCH(ProductCosts[[#This Row],[Reference Commodity]],Commodities[Code],0)))</calculatedColumnFormula>
    </tableColumn>
    <tableColumn id="19" xr3:uid="{00000000-0010-0000-0700-000013000000}" name="MaterialTypeID" dataDxfId="181">
      <calculatedColumnFormula>IF(ProductCosts[[#This Row],[Material Type]]="","",INDEX(MaterialTypes[ID],MATCH(ProductCosts[[#This Row],[Material Type]],MaterialTypes[Code],0)))</calculatedColumnFormula>
    </tableColumn>
    <tableColumn id="20" xr3:uid="{00000000-0010-0000-0700-000014000000}" name="CommodityID" dataDxfId="180">
      <calculatedColumnFormula>IF(ProductCosts[[#This Row],[Reference Commodity]]="","",INDEX(Commodities[ID],MATCH(ProductCosts[[#This Row],[Reference Commodity]],Commodities[Code],0)))</calculatedColumnFormula>
    </tableColumn>
    <tableColumn id="5" xr3:uid="{00000000-0010-0000-0700-000005000000}" name="Experiment"/>
    <tableColumn id="10" xr3:uid="{00000000-0010-0000-0700-00000A000000}" name="ID" dataDxfId="179"/>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Nominations" displayName="Nominations" ref="B4:AK8" totalsRowShown="0" headerRowDxfId="175" dataDxfId="174">
  <autoFilter ref="B4:AK8" xr:uid="{00000000-0009-0000-0100-000009000000}"/>
  <sortState ref="B5:AK5">
    <sortCondition ref="G4:G5"/>
  </sortState>
  <tableColumns count="36">
    <tableColumn id="14" xr3:uid="{00000000-0010-0000-0800-00000E000000}" name="L" dataDxfId="173" totalsRowDxfId="172">
      <calculatedColumnFormula>IF(Nominations[[#This Row],[Active]]=TRUE,1,0)</calculatedColumnFormula>
    </tableColumn>
    <tableColumn id="8" xr3:uid="{00000000-0010-0000-0800-000008000000}" name="Active" dataDxfId="171" totalsRowDxfId="170"/>
    <tableColumn id="16" xr3:uid="{00000000-0010-0000-0800-000010000000}" name="Code" dataDxfId="169"/>
    <tableColumn id="4" xr3:uid="{00000000-0010-0000-0800-000004000000}" name="Blending Order" dataDxfId="168"/>
    <tableColumn id="3" xr3:uid="{00000000-0010-0000-0800-000003000000}" name="Shipper" dataDxfId="167"/>
    <tableColumn id="2" xr3:uid="{00000000-0010-0000-0800-000002000000}" name="Site" dataDxfId="166"/>
    <tableColumn id="9" xr3:uid="{00000000-0010-0000-0800-000009000000}" name="Commodity" dataDxfId="165"/>
    <tableColumn id="13" xr3:uid="{00000000-0010-0000-0800-00000D000000}" name="Transport Method" dataDxfId="164"/>
    <tableColumn id="17" xr3:uid="{00000000-0010-0000-0800-000011000000}" name="Battery Calculation" dataDxfId="163"/>
    <tableColumn id="22" xr3:uid="{00000000-0010-0000-0800-000016000000}" name="Nomination" dataDxfId="162"/>
    <tableColumn id="18" xr3:uid="{00000000-0010-0000-0800-000012000000}" name="Nomination Variability" dataDxfId="161"/>
    <tableColumn id="21" xr3:uid="{00000000-0010-0000-0800-000015000000}" name="Minimum Nomination" dataDxfId="160"/>
    <tableColumn id="20" xr3:uid="{00000000-0010-0000-0800-000014000000}" name="Maximum Nomination" dataDxfId="159"/>
    <tableColumn id="26" xr3:uid="{00000000-0010-0000-0800-00001A000000}" name="Count Shipment" dataDxfId="158"/>
    <tableColumn id="25" xr3:uid="{00000000-0010-0000-0800-000019000000}" name="Minimum Number of Shipment" dataDxfId="157"/>
    <tableColumn id="27" xr3:uid="{00000000-0010-0000-0800-00001B000000}" name="Maximum Number of Shipment" dataDxfId="156"/>
    <tableColumn id="19" xr3:uid="{00000000-0010-0000-0800-000013000000}" name="Density" dataDxfId="155"/>
    <tableColumn id="28" xr3:uid="{00000000-0010-0000-0800-00001C000000}" name="Density Variability" dataDxfId="154"/>
    <tableColumn id="24" xr3:uid="{00000000-0010-0000-0800-000018000000}" name="Sulfur" dataDxfId="153"/>
    <tableColumn id="29" xr3:uid="{00000000-0010-0000-0800-00001D000000}" name="Sulfur Variability" dataDxfId="152"/>
    <tableColumn id="23" xr3:uid="{00000000-0010-0000-0800-000017000000}" name="Viscosity" dataDxfId="151"/>
    <tableColumn id="30" xr3:uid="{00000000-0010-0000-0800-00001E000000}" name="Viscosity Variability" dataDxfId="150"/>
    <tableColumn id="12" xr3:uid="{00000000-0010-0000-0800-00000C000000}" name="TVP" dataDxfId="149"/>
    <tableColumn id="31" xr3:uid="{00000000-0010-0000-0800-00001F000000}" name="TVP Variability" dataDxfId="148"/>
    <tableColumn id="11" xr3:uid="{00000000-0010-0000-0800-00000B000000}" name="RVP" dataDxfId="147"/>
    <tableColumn id="7" xr3:uid="{00000000-0010-0000-0800-000007000000}" name="Premium" dataDxfId="146"/>
    <tableColumn id="6" xr3:uid="{00000000-0010-0000-0800-000006000000}" name="Premium Currency" dataDxfId="145"/>
    <tableColumn id="1" xr3:uid="{00000000-0010-0000-0800-000001000000}" name="Premium Unit" dataDxfId="144"/>
    <tableColumn id="15" xr3:uid="{00000000-0010-0000-0800-00000F000000}" name="Priority" dataDxfId="143"/>
    <tableColumn id="32" xr3:uid="{00000000-0010-0000-0800-000020000000}" name="Custom Risk Index" dataDxfId="142"/>
    <tableColumn id="33" xr3:uid="{00000000-0010-0000-0800-000021000000}" name="ShipperID" dataDxfId="141">
      <calculatedColumnFormula>IF(Nominations[[#This Row],[Shipper]]="","",INDEX(Shippers[ID],MATCH(Nominations[[#This Row],[Shipper]],Shippers[Code],0)))</calculatedColumnFormula>
    </tableColumn>
    <tableColumn id="34" xr3:uid="{00000000-0010-0000-0800-000022000000}" name="SiteID" dataDxfId="140">
      <calculatedColumnFormula>IF(Nominations[[#This Row],[Site]]="","",INDEX(Sites[ID],MATCH(Nominations[[#This Row],[Site]],Sites[Code],0)))</calculatedColumnFormula>
    </tableColumn>
    <tableColumn id="35" xr3:uid="{00000000-0010-0000-0800-000023000000}" name="CommodityID" dataDxfId="139">
      <calculatedColumnFormula>IF(Nominations[[#This Row],[Commodity]]="","",INDEX(Commodities[ID],MATCH(Nominations[[#This Row],[Commodity]],Commodities[Code],0)))</calculatedColumnFormula>
    </tableColumn>
    <tableColumn id="36" xr3:uid="{00000000-0010-0000-0800-000024000000}" name="TransportTypeID" dataDxfId="138">
      <calculatedColumnFormula>IF(Nominations[[#This Row],[Transport Method]]="","",INDEX(TransportMethods[ID],MATCH(Nominations[[#This Row],[Transport Method]],TransportMethods[Code],0)))</calculatedColumnFormula>
    </tableColumn>
    <tableColumn id="5" xr3:uid="{00000000-0010-0000-0800-000005000000}" name="Experiment" dataDxfId="137"/>
    <tableColumn id="10" xr3:uid="{00000000-0010-0000-0800-00000A000000}" name="ID" dataDxfId="136"/>
  </tableColumns>
  <tableStyleInfo name="TableStyleLight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OutflowConstraints" displayName="OutflowConstraints" ref="B4:O9" totalsRowShown="0" headerRowDxfId="128" dataDxfId="127">
  <autoFilter ref="B4:O9" xr:uid="{00000000-0009-0000-0100-000002000000}"/>
  <sortState ref="B5:O5">
    <sortCondition descending="1" ref="C4:C5"/>
  </sortState>
  <tableColumns count="14">
    <tableColumn id="14" xr3:uid="{00000000-0010-0000-0900-00000E000000}" name="L" dataDxfId="126" totalsRowDxfId="125">
      <calculatedColumnFormula>IF(OutflowConstraints[[#This Row],[Active]]=TRUE,1,0)</calculatedColumnFormula>
    </tableColumn>
    <tableColumn id="8" xr3:uid="{00000000-0010-0000-0900-000008000000}" name="Active" dataDxfId="124" totalsRowDxfId="123"/>
    <tableColumn id="16" xr3:uid="{00000000-0010-0000-0900-000010000000}" name="Code" dataDxfId="122"/>
    <tableColumn id="17" xr3:uid="{00000000-0010-0000-0900-000011000000}" name="Constraint Type" dataDxfId="121"/>
    <tableColumn id="18" xr3:uid="{00000000-0010-0000-0900-000012000000}" name="Site"/>
    <tableColumn id="12" xr3:uid="{00000000-0010-0000-0900-00000C000000}" name="Stream" dataDxfId="120"/>
    <tableColumn id="13" xr3:uid="{00000000-0010-0000-0900-00000D000000}" name="Minimum Capacity On" dataDxfId="119"/>
    <tableColumn id="19" xr3:uid="{00000000-0010-0000-0900-000013000000}" name="Minimum Capacity" dataDxfId="118"/>
    <tableColumn id="11" xr3:uid="{00000000-0010-0000-0900-00000B000000}" name="Maximum Capacity On" dataDxfId="117"/>
    <tableColumn id="5" xr3:uid="{00000000-0010-0000-0900-000005000000}" name="Maximum Capacity" dataDxfId="116"/>
    <tableColumn id="2" xr3:uid="{00000000-0010-0000-0900-000002000000}" name="SiteID" dataDxfId="115">
      <calculatedColumnFormula>IF(OutflowConstraints[[#This Row],[Site]]="","",INDEX(Sites[ID],MATCH(OutflowConstraints[[#This Row],[Site]],Sites[Code],0)))</calculatedColumnFormula>
    </tableColumn>
    <tableColumn id="1" xr3:uid="{00000000-0010-0000-0900-000001000000}" name="StreamID" dataDxfId="114">
      <calculatedColumnFormula>IF(OutflowConstraints[[#This Row],[Stream]]="","",INDEX(Streams[ID],MATCH(OutflowConstraints[[#This Row],[Stream]],Streams[Code],0)))</calculatedColumnFormula>
    </tableColumn>
    <tableColumn id="9" xr3:uid="{00000000-0010-0000-0900-000009000000}" name="Experiment" dataDxfId="113"/>
    <tableColumn id="10" xr3:uid="{00000000-0010-0000-0900-00000A000000}" name="ID" dataDxfId="11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riff" displayName="Tariff" ref="B4:AC17" totalsRowShown="0" headerRowDxfId="100" dataDxfId="99">
  <autoFilter ref="B4:AC17" xr:uid="{00000000-0009-0000-0100-000007000000}"/>
  <sortState ref="B5:AC5">
    <sortCondition ref="I4:I5"/>
  </sortState>
  <tableColumns count="28">
    <tableColumn id="14" xr3:uid="{00000000-0010-0000-0A00-00000E000000}" name="L" dataDxfId="98" totalsRowDxfId="97">
      <calculatedColumnFormula>IF(Tariff[[#This Row],[Active]]=TRUE,1,0)</calculatedColumnFormula>
    </tableColumn>
    <tableColumn id="8" xr3:uid="{00000000-0010-0000-0A00-000008000000}" name="Active" dataDxfId="96" totalsRowDxfId="95"/>
    <tableColumn id="4" xr3:uid="{00000000-0010-0000-0A00-000004000000}" name="Code" dataDxfId="94"/>
    <tableColumn id="3" xr3:uid="{00000000-0010-0000-0A00-000003000000}" name="Tariff Type" dataDxfId="93"/>
    <tableColumn id="2" xr3:uid="{00000000-0010-0000-0A00-000002000000}" name="Value" dataDxfId="92"/>
    <tableColumn id="7" xr3:uid="{00000000-0010-0000-0A00-000007000000}" name="Currency" dataDxfId="91"/>
    <tableColumn id="6" xr3:uid="{00000000-0010-0000-0A00-000006000000}" name="Exclude Commodities" dataDxfId="90"/>
    <tableColumn id="11" xr3:uid="{00000000-0010-0000-0A00-00000B000000}" name="Commodity" dataDxfId="89"/>
    <tableColumn id="9" xr3:uid="{00000000-0010-0000-0A00-000009000000}" name="Exclude Material Types" dataDxfId="88"/>
    <tableColumn id="5" xr3:uid="{00000000-0010-0000-0A00-000005000000}" name="Material Type" dataDxfId="87"/>
    <tableColumn id="13" xr3:uid="{00000000-0010-0000-0A00-00000D000000}" name="Exclude Transport Methods" dataDxfId="86"/>
    <tableColumn id="12" xr3:uid="{00000000-0010-0000-0A00-00000C000000}" name="Transport Method" dataDxfId="85"/>
    <tableColumn id="19" xr3:uid="{00000000-0010-0000-0A00-000013000000}" name="Exclude Shippers" dataDxfId="84"/>
    <tableColumn id="1" xr3:uid="{00000000-0010-0000-0A00-000001000000}" name="From Shipper" dataDxfId="83"/>
    <tableColumn id="15" xr3:uid="{00000000-0010-0000-0A00-00000F000000}" name="Exclude Sites" dataDxfId="82"/>
    <tableColumn id="16" xr3:uid="{00000000-0010-0000-0A00-000010000000}" name="From Shipper Site" dataDxfId="81"/>
    <tableColumn id="17" xr3:uid="{00000000-0010-0000-0A00-000011000000}" name="To Shipper" dataDxfId="80"/>
    <tableColumn id="20" xr3:uid="{00000000-0010-0000-0A00-000014000000}" name="To Shipper Site" dataDxfId="79"/>
    <tableColumn id="21" xr3:uid="{00000000-0010-0000-0A00-000015000000}" name="Comments" dataDxfId="78"/>
    <tableColumn id="28" xr3:uid="{00000000-0010-0000-0A00-00001C000000}" name="CommodityID" dataDxfId="77">
      <calculatedColumnFormula>IF(Tariff[[#This Row],[Commodity]]="","",INDEX(Commodities[ID],MATCH(Tariff[[#This Row],[Commodity]],Commodities[Code],0)))</calculatedColumnFormula>
    </tableColumn>
    <tableColumn id="29" xr3:uid="{00000000-0010-0000-0A00-00001D000000}" name="MaterialTypeID" dataDxfId="76">
      <calculatedColumnFormula>IF(Tariff[[#This Row],[Material Type]]="","",INDEX(MaterialTypes[ID],MATCH(Tariff[[#This Row],[Material Type]],MaterialTypes[Code],0)))</calculatedColumnFormula>
    </tableColumn>
    <tableColumn id="22" xr3:uid="{00000000-0010-0000-0A00-000016000000}" name="TransportTypeID" dataDxfId="75">
      <calculatedColumnFormula>IF(Tariff[[#This Row],[Transport Method]]="","",INDEX(TransportMethods[ID],MATCH(Tariff[[#This Row],[Transport Method]],TransportMethods[Code],0)))</calculatedColumnFormula>
    </tableColumn>
    <tableColumn id="23" xr3:uid="{00000000-0010-0000-0A00-000017000000}" name="FromShipperID" dataDxfId="74">
      <calculatedColumnFormula>IF(Tariff[[#This Row],[From Shipper]]="","",INDEX(Shippers[ID],MATCH(Tariff[[#This Row],[From Shipper]],Shippers[Code],0)))</calculatedColumnFormula>
    </tableColumn>
    <tableColumn id="24" xr3:uid="{00000000-0010-0000-0A00-000018000000}" name="FromShipperSiteID" dataDxfId="73">
      <calculatedColumnFormula>IF(Tariff[[#This Row],[From Shipper Site]]="","",INDEX(Sites[ID],MATCH(Tariff[[#This Row],[From Shipper Site]],Sites[Code],0)))</calculatedColumnFormula>
    </tableColumn>
    <tableColumn id="25" xr3:uid="{00000000-0010-0000-0A00-000019000000}" name="ToShipperID" dataDxfId="72">
      <calculatedColumnFormula>IF(Tariff[[#This Row],[To Shipper]]="","",INDEX(Shippers[ID],MATCH(Tariff[[#This Row],[To Shipper]],Shippers[Code],0)))</calculatedColumnFormula>
    </tableColumn>
    <tableColumn id="26" xr3:uid="{00000000-0010-0000-0A00-00001A000000}" name="ToShipperSiteID" dataDxfId="71">
      <calculatedColumnFormula>IF(Tariff[[#This Row],[To Shipper Site]]="","",INDEX(Sites[ID],MATCH(Tariff[[#This Row],[To Shipper Site]],Sites[Code],0)))</calculatedColumnFormula>
    </tableColumn>
    <tableColumn id="18" xr3:uid="{00000000-0010-0000-0A00-000012000000}" name="Experiment" dataDxfId="70"/>
    <tableColumn id="10" xr3:uid="{00000000-0010-0000-0A00-00000A000000}" name="ID" dataDxfId="69"/>
  </tableColumns>
  <tableStyleInfo name="TableStyleLight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B000000}" name="TotalInflowConstraints" displayName="TotalInflowConstraints" ref="B4:M5" totalsRowShown="0" headerRowDxfId="61" dataDxfId="60">
  <autoFilter ref="B4:M5" xr:uid="{00000000-0009-0000-0100-000001000000}"/>
  <sortState ref="B5:M5">
    <sortCondition descending="1" ref="C4:C5"/>
  </sortState>
  <tableColumns count="12">
    <tableColumn id="14" xr3:uid="{00000000-0010-0000-0B00-00000E000000}" name="L" dataDxfId="59" totalsRowDxfId="58">
      <calculatedColumnFormula>IF(TotalInflowConstraints[[#This Row],[Active]]=TRUE,1,0)</calculatedColumnFormula>
    </tableColumn>
    <tableColumn id="8" xr3:uid="{00000000-0010-0000-0B00-000008000000}" name="Active" dataDxfId="57" totalsRowDxfId="56"/>
    <tableColumn id="2" xr3:uid="{00000000-0010-0000-0B00-000002000000}" name="Code" totalsRowDxfId="55"/>
    <tableColumn id="3" xr3:uid="{00000000-0010-0000-0B00-000003000000}" name="Site" totalsRowDxfId="54"/>
    <tableColumn id="4" xr3:uid="{00000000-0010-0000-0B00-000004000000}" name="Constraint Type" totalsRowDxfId="53"/>
    <tableColumn id="12" xr3:uid="{00000000-0010-0000-0B00-00000C000000}" name="Minimum Limit" dataDxfId="52"/>
    <tableColumn id="5" xr3:uid="{00000000-0010-0000-0B00-000005000000}" name="Minimum Capacity" dataDxfId="51"/>
    <tableColumn id="6" xr3:uid="{00000000-0010-0000-0B00-000006000000}" name="Maximum Limit" dataDxfId="50"/>
    <tableColumn id="7" xr3:uid="{00000000-0010-0000-0B00-000007000000}" name="Maximum Capacity" dataDxfId="49"/>
    <tableColumn id="1" xr3:uid="{00000000-0010-0000-0B00-000001000000}" name="SiteID">
      <calculatedColumnFormula>IF(TotalInflowConstraints[[#This Row],[Site]]="","",INDEX(Sites[ID],MATCH(TotalInflowConstraints[[#This Row],[Site]],Sites[Code],0)))</calculatedColumnFormula>
    </tableColumn>
    <tableColumn id="9" xr3:uid="{00000000-0010-0000-0B00-000009000000}" name="Experiment" dataDxfId="48"/>
    <tableColumn id="10" xr3:uid="{00000000-0010-0000-0B00-00000A000000}" name="ID" dataDxfId="47"/>
  </tableColumns>
  <tableStyleInfo name="TableStyleLight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C000000}" name="StreamConstraints" displayName="StreamConstraints" ref="B4:AB5" insertRow="1" totalsRowShown="0" headerRowDxfId="33" dataDxfId="32">
  <autoFilter ref="B4:AB5" xr:uid="{00000000-0009-0000-0100-000008000000}"/>
  <tableColumns count="27">
    <tableColumn id="14" xr3:uid="{00000000-0010-0000-0C00-00000E000000}" name="L" dataDxfId="31" totalsRowDxfId="30">
      <calculatedColumnFormula>IF(StreamConstraints[[#This Row],[Active]]=TRUE,1,0)</calculatedColumnFormula>
    </tableColumn>
    <tableColumn id="8" xr3:uid="{00000000-0010-0000-0C00-000008000000}" name="Active" dataDxfId="29" totalsRowDxfId="28"/>
    <tableColumn id="16" xr3:uid="{00000000-0010-0000-0C00-000010000000}" name="Code" dataDxfId="27"/>
    <tableColumn id="4" xr3:uid="{00000000-0010-0000-0C00-000004000000}" name="Exclude Flag Type" dataDxfId="26"/>
    <tableColumn id="3" xr3:uid="{00000000-0010-0000-0C00-000003000000}" name="Exclude Shipper" dataDxfId="25"/>
    <tableColumn id="2" xr3:uid="{00000000-0010-0000-0C00-000002000000}" name="From Shipper" dataDxfId="24"/>
    <tableColumn id="1" xr3:uid="{00000000-0010-0000-0C00-000001000000}" name="Exclude Site" dataDxfId="23"/>
    <tableColumn id="7" xr3:uid="{00000000-0010-0000-0C00-000007000000}" name="From Site" dataDxfId="22"/>
    <tableColumn id="6" xr3:uid="{00000000-0010-0000-0C00-000006000000}" name="Exclude Transport Method" dataDxfId="21"/>
    <tableColumn id="5" xr3:uid="{00000000-0010-0000-0C00-000005000000}" name="Transport Method" dataDxfId="20"/>
    <tableColumn id="10" xr3:uid="{00000000-0010-0000-0C00-00000A000000}" name="Exclude Material Type" dataDxfId="19"/>
    <tableColumn id="9" xr3:uid="{00000000-0010-0000-0C00-000009000000}" name="Material Type" dataDxfId="18"/>
    <tableColumn id="11" xr3:uid="{00000000-0010-0000-0C00-00000B000000}" name="Exclude Commodity"/>
    <tableColumn id="12" xr3:uid="{00000000-0010-0000-0C00-00000C000000}" name="Commodity" dataDxfId="17"/>
    <tableColumn id="13" xr3:uid="{00000000-0010-0000-0C00-00000D000000}" name="To Shipper" dataDxfId="16"/>
    <tableColumn id="15" xr3:uid="{00000000-0010-0000-0C00-00000F000000}" name="To Site" dataDxfId="15"/>
    <tableColumn id="17" xr3:uid="{00000000-0010-0000-0C00-000011000000}" name="To Stream" dataDxfId="14"/>
    <tableColumn id="20" xr3:uid="{00000000-0010-0000-0C00-000014000000}" name="FromShipperID" dataDxfId="13"/>
    <tableColumn id="21" xr3:uid="{00000000-0010-0000-0C00-000015000000}" name="FromSiteID" dataDxfId="12"/>
    <tableColumn id="22" xr3:uid="{00000000-0010-0000-0C00-000016000000}" name="TransportMethodID" dataDxfId="11"/>
    <tableColumn id="23" xr3:uid="{00000000-0010-0000-0C00-000017000000}" name="MaterialTypeID" dataDxfId="10"/>
    <tableColumn id="24" xr3:uid="{00000000-0010-0000-0C00-000018000000}" name="CommodityID" dataDxfId="9">
      <calculatedColumnFormula>IF(StreamConstraints[[#This Row],[Commodity]]="","",INDEX(Commodities[ID],MATCH(StreamConstraints[[#This Row],[Commodity]],Commodities[Code],0)))</calculatedColumnFormula>
    </tableColumn>
    <tableColumn id="25" xr3:uid="{00000000-0010-0000-0C00-000019000000}" name="ToShipperID" dataDxfId="8">
      <calculatedColumnFormula>IF(StreamConstraints[[#This Row],[To Shipper]]="","",INDEX(Shippers[ID],MATCH(StreamConstraints[[#This Row],[To Shipper]],Shippers[Code],0)))</calculatedColumnFormula>
    </tableColumn>
    <tableColumn id="26" xr3:uid="{00000000-0010-0000-0C00-00001A000000}" name="ToSiteID" dataDxfId="7">
      <calculatedColumnFormula>IF(StreamConstraints[[#This Row],[To Site]]="","",INDEX(Sites[ID],MATCH(StreamConstraints[[#This Row],[To Site]],Sites[Code],0)))</calculatedColumnFormula>
    </tableColumn>
    <tableColumn id="27" xr3:uid="{00000000-0010-0000-0C00-00001B000000}" name="ToStreamID" dataDxfId="6">
      <calculatedColumnFormula>IF(StreamConstraints[[#This Row],[To Stream]]="","",INDEX(Streams[ID],MATCH(StreamConstraints[[#This Row],[To Stream]],Streams[Code],0)))</calculatedColumnFormula>
    </tableColumn>
    <tableColumn id="18" xr3:uid="{00000000-0010-0000-0C00-000012000000}" name="Experiment" dataDxfId="5"/>
    <tableColumn id="19" xr3:uid="{00000000-0010-0000-0C00-000013000000}" name="ID" dataDxfId="4"/>
  </tableColumns>
  <tableStyleInfo name="TableStyleLight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VarList" displayName="VarList" ref="B3:C7" totalsRowShown="0" headerRowDxfId="3">
  <autoFilter ref="B3:C7" xr:uid="{00000000-0009-0000-0100-000013000000}"/>
  <tableColumns count="2">
    <tableColumn id="1" xr3:uid="{00000000-0010-0000-0D00-000001000000}" name="Variable"/>
    <tableColumn id="3" xr3:uid="{00000000-0010-0000-0D00-000003000000}" name="Value"/>
  </tableColumns>
  <tableStyleInfo name="TableStyleLight10"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E000000}" name="TransportMethods" displayName="TransportMethods" ref="B4:K8" totalsRowShown="0" headerRowDxfId="2">
  <autoFilter ref="B4:K8" xr:uid="{00000000-0009-0000-0100-000006000000}"/>
  <tableColumns count="10">
    <tableColumn id="1" xr3:uid="{00000000-0010-0000-0E00-000001000000}" name="Active"/>
    <tableColumn id="2" xr3:uid="{00000000-0010-0000-0E00-000002000000}" name="Code"/>
    <tableColumn id="3" xr3:uid="{00000000-0010-0000-0E00-000003000000}" name="Name"/>
    <tableColumn id="4" xr3:uid="{00000000-0010-0000-0E00-000004000000}" name="Size"/>
    <tableColumn id="5" xr3:uid="{00000000-0010-0000-0E00-000005000000}" name="MinSize"/>
    <tableColumn id="6" xr3:uid="{00000000-0010-0000-0E00-000006000000}" name="MaxSize"/>
    <tableColumn id="7" xr3:uid="{00000000-0010-0000-0E00-000007000000}" name="DefaultStep"/>
    <tableColumn id="8" xr3:uid="{00000000-0010-0000-0E00-000008000000}" name="optVarType"/>
    <tableColumn id="9" xr3:uid="{00000000-0010-0000-0E00-000009000000}" name="Comments"/>
    <tableColumn id="10" xr3:uid="{00000000-0010-0000-0E00-00000A000000}" name="ID"/>
  </tableColumns>
  <tableStyleInfo name="TableStyleLight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MaterialTypes" displayName="MaterialTypes" ref="B4:M20" totalsRowShown="0" headerRowDxfId="1">
  <autoFilter ref="B4:M20" xr:uid="{00000000-0009-0000-0100-00000D000000}"/>
  <tableColumns count="12">
    <tableColumn id="1" xr3:uid="{00000000-0010-0000-0F00-000001000000}" name="Active"/>
    <tableColumn id="2" xr3:uid="{00000000-0010-0000-0F00-000002000000}" name="Code"/>
    <tableColumn id="3" xr3:uid="{00000000-0010-0000-0F00-000003000000}" name="Name"/>
    <tableColumn id="4" xr3:uid="{00000000-0010-0000-0F00-000004000000}" name="ProducType"/>
    <tableColumn id="5" xr3:uid="{00000000-0010-0000-0F00-000005000000}" name="Grade"/>
    <tableColumn id="6" xr3:uid="{00000000-0010-0000-0F00-000006000000}" name="Process"/>
    <tableColumn id="7" xr3:uid="{00000000-0010-0000-0F00-000007000000}" name="Sort Order"/>
    <tableColumn id="8" xr3:uid="{00000000-0010-0000-0F00-000008000000}" name="Default Min Sulfur"/>
    <tableColumn id="9" xr3:uid="{00000000-0010-0000-0F00-000009000000}" name="Default Max Sulfur"/>
    <tableColumn id="10" xr3:uid="{00000000-0010-0000-0F00-00000A000000}" name="Default Min Density"/>
    <tableColumn id="11" xr3:uid="{00000000-0010-0000-0F00-00000B000000}" name="Default Max Density"/>
    <tableColumn id="12" xr3:uid="{00000000-0010-0000-0F00-00000C000000}" name="ID"/>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0000000}" name="ProductTypes" displayName="ProductTypes" ref="B4:E8" totalsRowShown="0" headerRowDxfId="0">
  <autoFilter ref="B4:E8" xr:uid="{00000000-0009-0000-0100-00000F000000}"/>
  <tableColumns count="4">
    <tableColumn id="1" xr3:uid="{00000000-0010-0000-1000-000001000000}" name="Code"/>
    <tableColumn id="2" xr3:uid="{00000000-0010-0000-1000-000002000000}" name="Active"/>
    <tableColumn id="3" xr3:uid="{00000000-0010-0000-1000-000003000000}" name="Name"/>
    <tableColumn id="4" xr3:uid="{00000000-0010-0000-1000-000004000000}"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R23"/>
  <sheetViews>
    <sheetView showGridLines="0" zoomScaleNormal="100" workbookViewId="0">
      <selection activeCell="D26" sqref="D26:D27"/>
    </sheetView>
  </sheetViews>
  <sheetFormatPr defaultRowHeight="15"/>
  <cols>
    <col min="1" max="1" width="2.7109375" customWidth="1"/>
    <col min="2" max="2" width="6.85546875" customWidth="1"/>
    <col min="3" max="3" width="11.140625" customWidth="1"/>
    <col min="4" max="4" width="21.85546875" customWidth="1"/>
    <col min="5" max="5" width="34.28515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hidden="1" customWidth="1"/>
    <col min="18" max="18" width="9.140625" hidden="1" customWidth="1"/>
  </cols>
  <sheetData>
    <row r="1" spans="2:18" s="2" customFormat="1" ht="57" customHeight="1" thickBot="1">
      <c r="F1" s="2" t="s">
        <v>431</v>
      </c>
      <c r="R1" s="28"/>
    </row>
    <row r="2" spans="2:18" s="4" customFormat="1" ht="15.75" thickTop="1"/>
    <row r="3" spans="2:18" ht="20.45" customHeight="1">
      <c r="B3" s="105" t="s">
        <v>21</v>
      </c>
      <c r="C3" s="105"/>
      <c r="D3" s="105"/>
      <c r="E3" s="105"/>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76" t="s">
        <v>10</v>
      </c>
      <c r="C8" s="70" t="s">
        <v>1</v>
      </c>
      <c r="D8" s="70" t="s">
        <v>0</v>
      </c>
      <c r="E8" s="70" t="s">
        <v>3</v>
      </c>
      <c r="F8" s="70" t="s">
        <v>5</v>
      </c>
      <c r="G8" s="70" t="s">
        <v>20</v>
      </c>
      <c r="H8" s="70" t="s">
        <v>24</v>
      </c>
      <c r="I8" s="70" t="s">
        <v>25</v>
      </c>
      <c r="J8" s="70" t="s">
        <v>26</v>
      </c>
      <c r="K8" s="70" t="s">
        <v>27</v>
      </c>
      <c r="L8" s="70" t="s">
        <v>28</v>
      </c>
      <c r="M8" s="70" t="s">
        <v>29</v>
      </c>
      <c r="N8" s="70" t="s">
        <v>30</v>
      </c>
      <c r="O8" s="70" t="s">
        <v>204</v>
      </c>
      <c r="P8" s="70" t="s">
        <v>205</v>
      </c>
      <c r="Q8" s="70" t="s">
        <v>379</v>
      </c>
      <c r="R8" s="17" t="s">
        <v>17</v>
      </c>
    </row>
    <row r="9" spans="2:18">
      <c r="B9" s="73">
        <f>IF(Experiments[[#This Row],[Active]]=TRUE,1,0)</f>
        <v>1</v>
      </c>
      <c r="C9" s="73" t="b">
        <v>1</v>
      </c>
      <c r="D9" s="74" t="s">
        <v>358</v>
      </c>
      <c r="E9" s="74" t="s">
        <v>415</v>
      </c>
      <c r="F9" s="74"/>
      <c r="G9" s="71" t="s">
        <v>22</v>
      </c>
      <c r="H9" s="71" t="b">
        <v>0</v>
      </c>
      <c r="I9" s="75">
        <v>10000</v>
      </c>
      <c r="J9" s="75">
        <v>5</v>
      </c>
      <c r="K9" s="75">
        <v>1.3438000000000001</v>
      </c>
      <c r="L9" s="75">
        <v>2016</v>
      </c>
      <c r="M9" s="75">
        <v>11</v>
      </c>
      <c r="N9" s="71">
        <v>6.2928699999999997</v>
      </c>
      <c r="O9" s="73" t="b">
        <v>0</v>
      </c>
      <c r="P9" s="73" t="b">
        <v>0</v>
      </c>
      <c r="Q9" s="73" t="b">
        <v>1</v>
      </c>
      <c r="R9" s="15">
        <v>1</v>
      </c>
    </row>
    <row r="10" spans="2:18">
      <c r="B10" s="7">
        <f>IF(Experiments[[#This Row],[Active]]=TRUE,1,0)</f>
        <v>1</v>
      </c>
      <c r="C10" s="7" t="b">
        <v>1</v>
      </c>
      <c r="D10" s="83" t="s">
        <v>359</v>
      </c>
      <c r="E10" s="83" t="s">
        <v>416</v>
      </c>
      <c r="F10" s="83"/>
      <c r="G10" s="84" t="s">
        <v>22</v>
      </c>
      <c r="H10" s="84" t="b">
        <v>0</v>
      </c>
      <c r="I10" s="85">
        <v>10000</v>
      </c>
      <c r="J10" s="85">
        <v>5</v>
      </c>
      <c r="K10" s="85">
        <v>1.3329</v>
      </c>
      <c r="L10" s="85">
        <v>2016</v>
      </c>
      <c r="M10" s="85">
        <v>12</v>
      </c>
      <c r="N10" s="84">
        <v>6.2928699999999997</v>
      </c>
      <c r="O10" s="7" t="b">
        <v>0</v>
      </c>
      <c r="P10" s="7" t="b">
        <v>0</v>
      </c>
      <c r="Q10" s="7" t="b">
        <v>0</v>
      </c>
      <c r="R10" s="15">
        <v>3</v>
      </c>
    </row>
    <row r="11" spans="2:18">
      <c r="B11" s="7">
        <f>IF(Experiments[[#This Row],[Active]]=TRUE,1,0)</f>
        <v>1</v>
      </c>
      <c r="C11" s="7" t="b">
        <v>1</v>
      </c>
      <c r="D11" s="83" t="s">
        <v>360</v>
      </c>
      <c r="E11" s="83" t="s">
        <v>417</v>
      </c>
      <c r="F11" s="83"/>
      <c r="G11" s="84" t="s">
        <v>22</v>
      </c>
      <c r="H11" s="84" t="b">
        <v>0</v>
      </c>
      <c r="I11" s="85">
        <v>10000</v>
      </c>
      <c r="J11" s="85">
        <v>5</v>
      </c>
      <c r="K11" s="85">
        <v>1.3190999999999999</v>
      </c>
      <c r="L11" s="85">
        <v>2017</v>
      </c>
      <c r="M11" s="85">
        <v>1</v>
      </c>
      <c r="N11" s="84">
        <v>6.2928699999999997</v>
      </c>
      <c r="O11" s="7" t="b">
        <v>0</v>
      </c>
      <c r="P11" s="7" t="b">
        <v>0</v>
      </c>
      <c r="Q11" s="7" t="b">
        <v>0</v>
      </c>
      <c r="R11" s="15">
        <v>5</v>
      </c>
    </row>
    <row r="12" spans="2:18">
      <c r="B12" s="7">
        <f>IF(Experiments[[#This Row],[Active]]=TRUE,1,0)</f>
        <v>1</v>
      </c>
      <c r="C12" s="7" t="b">
        <v>1</v>
      </c>
      <c r="D12" s="83" t="s">
        <v>361</v>
      </c>
      <c r="E12" s="83" t="s">
        <v>418</v>
      </c>
      <c r="F12" s="83"/>
      <c r="G12" s="84" t="s">
        <v>22</v>
      </c>
      <c r="H12" s="84" t="b">
        <v>0</v>
      </c>
      <c r="I12" s="85">
        <v>10000</v>
      </c>
      <c r="J12" s="85">
        <v>5</v>
      </c>
      <c r="K12" s="85">
        <v>1.3109999999999999</v>
      </c>
      <c r="L12" s="85">
        <v>2017</v>
      </c>
      <c r="M12" s="85">
        <v>2</v>
      </c>
      <c r="N12" s="84">
        <v>6.2928699999999997</v>
      </c>
      <c r="O12" s="7" t="b">
        <v>0</v>
      </c>
      <c r="P12" s="7" t="b">
        <v>0</v>
      </c>
      <c r="Q12" s="7" t="b">
        <v>0</v>
      </c>
      <c r="R12" s="15">
        <v>7</v>
      </c>
    </row>
    <row r="13" spans="2:18">
      <c r="B13" s="7">
        <f>IF(Experiments[[#This Row],[Active]]=TRUE,1,0)</f>
        <v>1</v>
      </c>
      <c r="C13" s="7" t="b">
        <v>1</v>
      </c>
      <c r="D13" s="83" t="s">
        <v>362</v>
      </c>
      <c r="E13" s="83" t="s">
        <v>419</v>
      </c>
      <c r="F13" s="83"/>
      <c r="G13" s="84" t="s">
        <v>22</v>
      </c>
      <c r="H13" s="84" t="b">
        <v>0</v>
      </c>
      <c r="I13" s="85">
        <v>10000</v>
      </c>
      <c r="J13" s="85">
        <v>5</v>
      </c>
      <c r="K13" s="85">
        <v>1.3248</v>
      </c>
      <c r="L13" s="85">
        <v>2017</v>
      </c>
      <c r="M13" s="85">
        <v>3</v>
      </c>
      <c r="N13" s="84">
        <v>6.2928699999999997</v>
      </c>
      <c r="O13" s="7" t="b">
        <v>0</v>
      </c>
      <c r="P13" s="7" t="b">
        <v>0</v>
      </c>
      <c r="Q13" s="7" t="b">
        <v>0</v>
      </c>
      <c r="R13" s="15">
        <v>11</v>
      </c>
    </row>
    <row r="14" spans="2:18">
      <c r="B14" s="7">
        <f>IF(Experiments[[#This Row],[Active]]=TRUE,1,0)</f>
        <v>1</v>
      </c>
      <c r="C14" s="7" t="b">
        <v>1</v>
      </c>
      <c r="D14" s="83" t="s">
        <v>363</v>
      </c>
      <c r="E14" s="83" t="s">
        <v>420</v>
      </c>
      <c r="F14" s="83"/>
      <c r="G14" s="84" t="s">
        <v>22</v>
      </c>
      <c r="H14" s="84" t="b">
        <v>0</v>
      </c>
      <c r="I14" s="85">
        <v>10000</v>
      </c>
      <c r="J14" s="85">
        <v>5</v>
      </c>
      <c r="K14" s="85">
        <v>1.3444</v>
      </c>
      <c r="L14" s="85">
        <v>2017</v>
      </c>
      <c r="M14" s="85">
        <v>4</v>
      </c>
      <c r="N14" s="84">
        <v>6.2928699999999997</v>
      </c>
      <c r="O14" s="7" t="b">
        <v>0</v>
      </c>
      <c r="P14" s="7" t="b">
        <v>0</v>
      </c>
      <c r="Q14" s="7" t="b">
        <v>0</v>
      </c>
      <c r="R14" s="15">
        <v>38</v>
      </c>
    </row>
    <row r="15" spans="2:18">
      <c r="B15" s="7">
        <f>IF(Experiments[[#This Row],[Active]]=TRUE,1,0)</f>
        <v>1</v>
      </c>
      <c r="C15" s="7" t="b">
        <v>1</v>
      </c>
      <c r="D15" s="83" t="s">
        <v>364</v>
      </c>
      <c r="E15" s="83" t="s">
        <v>421</v>
      </c>
      <c r="F15" s="83"/>
      <c r="G15" s="84" t="s">
        <v>22</v>
      </c>
      <c r="H15" s="84" t="b">
        <v>0</v>
      </c>
      <c r="I15" s="85">
        <v>10000</v>
      </c>
      <c r="J15" s="85">
        <v>5</v>
      </c>
      <c r="K15" s="85">
        <v>1.3444</v>
      </c>
      <c r="L15" s="85">
        <v>2017</v>
      </c>
      <c r="M15" s="85">
        <v>5</v>
      </c>
      <c r="N15" s="84">
        <v>6.2928699999999997</v>
      </c>
      <c r="O15" s="7" t="b">
        <v>0</v>
      </c>
      <c r="P15" s="7" t="b">
        <v>0</v>
      </c>
      <c r="Q15" s="7" t="b">
        <v>0</v>
      </c>
      <c r="R15" s="15">
        <v>39</v>
      </c>
    </row>
    <row r="16" spans="2:18">
      <c r="B16" s="7">
        <f>IF(Experiments[[#This Row],[Active]]=TRUE,1,0)</f>
        <v>1</v>
      </c>
      <c r="C16" s="7" t="b">
        <v>1</v>
      </c>
      <c r="D16" s="83" t="s">
        <v>365</v>
      </c>
      <c r="E16" s="83" t="s">
        <v>422</v>
      </c>
      <c r="F16" s="83"/>
      <c r="G16" s="84" t="s">
        <v>22</v>
      </c>
      <c r="H16" s="84" t="b">
        <v>0</v>
      </c>
      <c r="I16" s="85">
        <v>10000</v>
      </c>
      <c r="J16" s="85">
        <v>5</v>
      </c>
      <c r="K16" s="85">
        <v>1.3444</v>
      </c>
      <c r="L16" s="85">
        <v>2017</v>
      </c>
      <c r="M16" s="85">
        <v>6</v>
      </c>
      <c r="N16" s="84">
        <v>6.2928699999999997</v>
      </c>
      <c r="O16" s="7" t="b">
        <v>0</v>
      </c>
      <c r="P16" s="7" t="b">
        <v>0</v>
      </c>
      <c r="Q16" s="7" t="b">
        <v>0</v>
      </c>
      <c r="R16" s="15">
        <v>40</v>
      </c>
    </row>
    <row r="17" spans="2:18">
      <c r="B17" s="7">
        <f>IF(Experiments[[#This Row],[Active]]=TRUE,1,0)</f>
        <v>0</v>
      </c>
      <c r="C17" s="7" t="b">
        <v>0</v>
      </c>
      <c r="D17" s="83" t="s">
        <v>366</v>
      </c>
      <c r="E17" s="83" t="s">
        <v>31</v>
      </c>
      <c r="F17" s="83"/>
      <c r="G17" s="84" t="s">
        <v>22</v>
      </c>
      <c r="H17" s="84" t="b">
        <v>0</v>
      </c>
      <c r="I17" s="85">
        <v>10000</v>
      </c>
      <c r="J17" s="85">
        <v>5</v>
      </c>
      <c r="K17" s="85">
        <v>1.3444</v>
      </c>
      <c r="L17" s="85">
        <v>2017</v>
      </c>
      <c r="M17" s="85">
        <v>4</v>
      </c>
      <c r="N17" s="84">
        <v>6.2928699999999997</v>
      </c>
      <c r="O17" s="7" t="b">
        <v>0</v>
      </c>
      <c r="P17" s="7" t="b">
        <v>0</v>
      </c>
      <c r="Q17" s="7" t="b">
        <v>0</v>
      </c>
      <c r="R17" s="15">
        <v>41</v>
      </c>
    </row>
    <row r="18" spans="2:18">
      <c r="B18" s="7">
        <f>IF(Experiments[[#This Row],[Active]]=TRUE,1,0)</f>
        <v>0</v>
      </c>
      <c r="C18" s="7" t="b">
        <v>0</v>
      </c>
      <c r="D18" s="83" t="s">
        <v>367</v>
      </c>
      <c r="E18" s="83" t="s">
        <v>32</v>
      </c>
      <c r="F18" s="83"/>
      <c r="G18" s="84" t="s">
        <v>22</v>
      </c>
      <c r="H18" s="84" t="b">
        <v>0</v>
      </c>
      <c r="I18" s="85">
        <v>10000</v>
      </c>
      <c r="J18" s="85">
        <v>5</v>
      </c>
      <c r="K18" s="85">
        <v>1.3444</v>
      </c>
      <c r="L18" s="85">
        <v>2017</v>
      </c>
      <c r="M18" s="85">
        <v>4</v>
      </c>
      <c r="N18" s="84">
        <v>6.2928699999999997</v>
      </c>
      <c r="O18" s="7" t="b">
        <v>0</v>
      </c>
      <c r="P18" s="7" t="b">
        <v>0</v>
      </c>
      <c r="Q18" s="7" t="b">
        <v>0</v>
      </c>
      <c r="R18" s="15">
        <v>42</v>
      </c>
    </row>
    <row r="19" spans="2:18">
      <c r="B19" s="7">
        <f>IF(Experiments[[#This Row],[Active]]=TRUE,1,0)</f>
        <v>1</v>
      </c>
      <c r="C19" s="7" t="b">
        <v>1</v>
      </c>
      <c r="D19" s="83" t="s">
        <v>368</v>
      </c>
      <c r="E19" s="83" t="s">
        <v>369</v>
      </c>
      <c r="F19" s="83"/>
      <c r="G19" s="84" t="s">
        <v>22</v>
      </c>
      <c r="H19" s="84" t="b">
        <v>0</v>
      </c>
      <c r="I19" s="85">
        <v>10000</v>
      </c>
      <c r="J19" s="85">
        <v>5</v>
      </c>
      <c r="K19" s="85">
        <v>1.3444</v>
      </c>
      <c r="L19" s="85">
        <v>2017</v>
      </c>
      <c r="M19" s="85">
        <v>6</v>
      </c>
      <c r="N19" s="84">
        <v>6.2928699999999997</v>
      </c>
      <c r="O19" s="7" t="b">
        <v>0</v>
      </c>
      <c r="P19" s="7" t="b">
        <v>0</v>
      </c>
      <c r="Q19" s="7" t="b">
        <v>0</v>
      </c>
      <c r="R19" s="15">
        <v>43</v>
      </c>
    </row>
    <row r="20" spans="2:18">
      <c r="B20" s="7">
        <f>IF(Experiments[[#This Row],[Active]]=TRUE,1,0)</f>
        <v>1</v>
      </c>
      <c r="C20" s="7" t="b">
        <v>1</v>
      </c>
      <c r="D20" s="83" t="s">
        <v>409</v>
      </c>
      <c r="E20" s="83" t="s">
        <v>410</v>
      </c>
      <c r="F20" s="83"/>
      <c r="G20" s="84" t="s">
        <v>22</v>
      </c>
      <c r="H20" s="84" t="b">
        <v>0</v>
      </c>
      <c r="I20" s="85">
        <v>10000</v>
      </c>
      <c r="J20" s="85">
        <v>5</v>
      </c>
      <c r="K20" s="85">
        <v>1.3444</v>
      </c>
      <c r="L20" s="85">
        <v>2017</v>
      </c>
      <c r="M20" s="85">
        <v>6</v>
      </c>
      <c r="N20" s="84">
        <v>6.2928699999999997</v>
      </c>
      <c r="O20" s="7" t="b">
        <v>0</v>
      </c>
      <c r="P20" s="7" t="b">
        <v>0</v>
      </c>
      <c r="Q20" s="7" t="b">
        <v>0</v>
      </c>
      <c r="R20" s="15">
        <v>44</v>
      </c>
    </row>
    <row r="21" spans="2:18">
      <c r="B21" s="7">
        <f>IF(Experiments[[#This Row],[Active]]=TRUE,1,0)</f>
        <v>1</v>
      </c>
      <c r="C21" s="7" t="b">
        <v>1</v>
      </c>
      <c r="D21" s="83" t="s">
        <v>423</v>
      </c>
      <c r="E21" s="83" t="s">
        <v>424</v>
      </c>
      <c r="F21" s="83"/>
      <c r="G21" s="84" t="s">
        <v>22</v>
      </c>
      <c r="H21" s="84" t="b">
        <v>0</v>
      </c>
      <c r="I21" s="85">
        <v>10000</v>
      </c>
      <c r="J21" s="85">
        <v>5</v>
      </c>
      <c r="K21" s="85">
        <v>1.3438000000000001</v>
      </c>
      <c r="L21" s="85">
        <v>2016</v>
      </c>
      <c r="M21" s="85">
        <v>11</v>
      </c>
      <c r="N21" s="84">
        <v>6.2928699999999997</v>
      </c>
      <c r="O21" s="7" t="b">
        <v>0</v>
      </c>
      <c r="P21" s="7" t="b">
        <v>0</v>
      </c>
      <c r="Q21" s="7" t="b">
        <v>0</v>
      </c>
      <c r="R21" s="15">
        <v>45</v>
      </c>
    </row>
    <row r="22" spans="2:18">
      <c r="B22" s="7">
        <f>IF(Experiments[[#This Row],[Active]]=TRUE,1,0)</f>
        <v>1</v>
      </c>
      <c r="C22" s="7" t="b">
        <v>1</v>
      </c>
      <c r="D22" s="83" t="s">
        <v>425</v>
      </c>
      <c r="E22" s="83" t="s">
        <v>426</v>
      </c>
      <c r="F22" s="83"/>
      <c r="G22" s="84" t="s">
        <v>22</v>
      </c>
      <c r="H22" s="84" t="b">
        <v>0</v>
      </c>
      <c r="I22" s="85">
        <v>10000</v>
      </c>
      <c r="J22" s="85">
        <v>5</v>
      </c>
      <c r="K22" s="85">
        <v>1.3109999999999999</v>
      </c>
      <c r="L22" s="85">
        <v>2017</v>
      </c>
      <c r="M22" s="85">
        <v>2</v>
      </c>
      <c r="N22" s="84">
        <v>6.2928699999999997</v>
      </c>
      <c r="O22" s="7" t="b">
        <v>0</v>
      </c>
      <c r="P22" s="7" t="b">
        <v>0</v>
      </c>
      <c r="Q22" s="7" t="b">
        <v>0</v>
      </c>
      <c r="R22" s="15">
        <v>46</v>
      </c>
    </row>
    <row r="23" spans="2:18">
      <c r="B23" s="7">
        <f>IF(Experiments[[#This Row],[Active]]=TRUE,1,0)</f>
        <v>1</v>
      </c>
      <c r="C23" s="7" t="b">
        <v>1</v>
      </c>
      <c r="D23" s="83" t="s">
        <v>428</v>
      </c>
      <c r="E23" s="83" t="s">
        <v>429</v>
      </c>
      <c r="F23" s="83"/>
      <c r="G23" s="84" t="s">
        <v>22</v>
      </c>
      <c r="H23" s="84" t="b">
        <v>0</v>
      </c>
      <c r="I23" s="85">
        <v>10000</v>
      </c>
      <c r="J23" s="85">
        <v>5</v>
      </c>
      <c r="K23" s="85">
        <v>1.3190999999999999</v>
      </c>
      <c r="L23" s="85">
        <v>2017</v>
      </c>
      <c r="M23" s="85">
        <v>1</v>
      </c>
      <c r="N23" s="84">
        <v>6.2928699999999997</v>
      </c>
      <c r="O23" s="7" t="b">
        <v>0</v>
      </c>
      <c r="P23" s="7" t="b">
        <v>0</v>
      </c>
      <c r="Q23" s="7" t="b">
        <v>0</v>
      </c>
      <c r="R23" s="15">
        <v>47</v>
      </c>
    </row>
  </sheetData>
  <dataConsolidate/>
  <mergeCells count="1">
    <mergeCell ref="B3:E3"/>
  </mergeCells>
  <conditionalFormatting sqref="B9:H23 N9:Q23">
    <cfRule type="expression" dxfId="344" priority="19">
      <formula>$C9 = FALSE</formula>
    </cfRule>
  </conditionalFormatting>
  <conditionalFormatting sqref="C9:C23 Q9:Q23">
    <cfRule type="cellIs" dxfId="343" priority="34873" operator="equal">
      <formula>TRUE</formula>
    </cfRule>
    <cfRule type="cellIs" dxfId="342" priority="34874" operator="equal">
      <formula>FALSE</formula>
    </cfRule>
  </conditionalFormatting>
  <conditionalFormatting sqref="H9:H23">
    <cfRule type="cellIs" dxfId="341" priority="7" operator="equal">
      <formula>TRUE</formula>
    </cfRule>
    <cfRule type="cellIs" dxfId="340" priority="8" operator="equal">
      <formula>FALSE</formula>
    </cfRule>
  </conditionalFormatting>
  <conditionalFormatting sqref="P9:P23">
    <cfRule type="cellIs" dxfId="339" priority="4" operator="equal">
      <formula>TRUE</formula>
    </cfRule>
    <cfRule type="cellIs" dxfId="338" priority="5" operator="equal">
      <formula>FALSE</formula>
    </cfRule>
  </conditionalFormatting>
  <conditionalFormatting sqref="O9:O23">
    <cfRule type="cellIs" dxfId="337" priority="1" operator="equal">
      <formula>TRUE</formula>
    </cfRule>
    <cfRule type="cellIs" dxfId="336" priority="2" operator="equal">
      <formula>FALSE</formula>
    </cfRule>
  </conditionalFormatting>
  <conditionalFormatting sqref="D9:D23">
    <cfRule type="duplicateValues" dxfId="335" priority="49181"/>
  </conditionalFormatting>
  <dataValidations count="3">
    <dataValidation type="list" allowBlank="1" showInputMessage="1" showErrorMessage="1" sqref="C9:C23" xr:uid="{00000000-0002-0000-0000-000000000000}">
      <formula1>"TRUE,FALSE"</formula1>
    </dataValidation>
    <dataValidation type="list" allowBlank="1" showInputMessage="1" showErrorMessage="1" sqref="H9:H23 O9:Q23" xr:uid="{00000000-0002-0000-0000-000001000000}">
      <formula1>"TRUE, FALSE"</formula1>
    </dataValidation>
    <dataValidation type="whole" showInputMessage="1" showErrorMessage="1" sqref="M9:M23" xr:uid="{00000000-0002-0000-0000-000002000000}">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46" r:id="rId4" name="CommandButton5">
          <controlPr defaultSize="0" autoFill="0" autoLine="0" r:id="rId5">
            <anchor>
              <from>
                <xdr:col>2</xdr:col>
                <xdr:colOff>600075</xdr:colOff>
                <xdr:row>5</xdr:row>
                <xdr:rowOff>47625</xdr:rowOff>
              </from>
              <to>
                <xdr:col>3</xdr:col>
                <xdr:colOff>790575</xdr:colOff>
                <xdr:row>5</xdr:row>
                <xdr:rowOff>295275</xdr:rowOff>
              </to>
            </anchor>
          </controlPr>
        </control>
      </mc:Choice>
      <mc:Fallback>
        <control shapeId="4146" r:id="rId4" name="CommandButton5"/>
      </mc:Fallback>
    </mc:AlternateContent>
    <mc:AlternateContent xmlns:mc="http://schemas.openxmlformats.org/markup-compatibility/2006">
      <mc:Choice Requires="x14">
        <control shapeId="4132" r:id="rId6" name="ExpRefBtn">
          <controlPr defaultSize="0" autoFill="0" autoLine="0" r:id="rId7">
            <anchor>
              <from>
                <xdr:col>0</xdr:col>
                <xdr:colOff>171450</xdr:colOff>
                <xdr:row>5</xdr:row>
                <xdr:rowOff>47625</xdr:rowOff>
              </from>
              <to>
                <xdr:col>2</xdr:col>
                <xdr:colOff>457200</xdr:colOff>
                <xdr:row>5</xdr:row>
                <xdr:rowOff>295275</xdr:rowOff>
              </to>
            </anchor>
          </controlPr>
        </control>
      </mc:Choice>
      <mc:Fallback>
        <control shapeId="4132" r:id="rId6" name="ExpRefBtn"/>
      </mc:Fallback>
    </mc:AlternateContent>
    <mc:AlternateContent xmlns:mc="http://schemas.openxmlformats.org/markup-compatibility/2006">
      <mc:Choice Requires="x14">
        <control shapeId="4131" r:id="rId8" name="ExpDelBtn">
          <controlPr defaultSize="0" autoFill="0" autoLine="0" r:id="rId9">
            <anchor>
              <from>
                <xdr:col>4</xdr:col>
                <xdr:colOff>542925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12" r:id="rId10" name="ComboBox1">
          <controlPr defaultSize="0" autoLine="0" linkedCell="$F$1" r:id="rId11">
            <anchor>
              <from>
                <xdr:col>1</xdr:col>
                <xdr:colOff>0</xdr:colOff>
                <xdr:row>3</xdr:row>
                <xdr:rowOff>95250</xdr:rowOff>
              </from>
              <to>
                <xdr:col>4</xdr:col>
                <xdr:colOff>1476375</xdr:colOff>
                <xdr:row>4</xdr:row>
                <xdr:rowOff>152400</xdr:rowOff>
              </to>
            </anchor>
          </controlPr>
        </control>
      </mc:Choice>
      <mc:Fallback>
        <control shapeId="4112" r:id="rId10" name="ComboBox1"/>
      </mc:Fallback>
    </mc:AlternateContent>
    <mc:AlternateContent xmlns:mc="http://schemas.openxmlformats.org/markup-compatibility/2006">
      <mc:Choice Requires="x14">
        <control shapeId="4155" r:id="rId12" name="CommandButton6">
          <controlPr defaultSize="0" autoFill="0" autoLine="0" r:id="rId13">
            <anchor>
              <from>
                <xdr:col>3</xdr:col>
                <xdr:colOff>933450</xdr:colOff>
                <xdr:row>5</xdr:row>
                <xdr:rowOff>47625</xdr:rowOff>
              </from>
              <to>
                <xdr:col>4</xdr:col>
                <xdr:colOff>400050</xdr:colOff>
                <xdr:row>5</xdr:row>
                <xdr:rowOff>295275</xdr:rowOff>
              </to>
            </anchor>
          </controlPr>
        </control>
      </mc:Choice>
      <mc:Fallback>
        <control shapeId="4155" r:id="rId12" name="CommandButton6"/>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9182"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B9:C23</xm:sqref>
        </x14:conditionalFormatting>
        <x14:conditionalFormatting xmlns:xm="http://schemas.microsoft.com/office/excel/2006/main">
          <x14:cfRule type="iconSet" priority="49183"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H9:H23</xm:sqref>
        </x14:conditionalFormatting>
        <x14:conditionalFormatting xmlns:xm="http://schemas.microsoft.com/office/excel/2006/main">
          <x14:cfRule type="iconSet" priority="49184"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P9:Q23</xm:sqref>
        </x14:conditionalFormatting>
        <x14:conditionalFormatting xmlns:xm="http://schemas.microsoft.com/office/excel/2006/main">
          <x14:cfRule type="iconSet" priority="49185"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O9:O23</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FFFF00"/>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C11" sqref="C11"/>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hidden="1" customWidth="1"/>
    <col min="11" max="11" width="7.42578125" hidden="1"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3" t="s">
        <v>193</v>
      </c>
      <c r="C2" s="63"/>
      <c r="D2" s="63"/>
      <c r="E2" s="63"/>
      <c r="F2" s="24"/>
      <c r="G2" s="24"/>
      <c r="H2" s="24"/>
    </row>
    <row r="3" spans="1:16" s="4" customFormat="1" ht="9" customHeight="1" thickTop="1">
      <c r="A3" s="22"/>
      <c r="C3" s="21"/>
    </row>
    <row r="4" spans="1:16" s="13" customFormat="1" ht="15" customHeight="1">
      <c r="A4" s="22"/>
      <c r="B4" s="20" t="s">
        <v>11</v>
      </c>
      <c r="C4" s="19" t="s">
        <v>1</v>
      </c>
      <c r="D4" s="19" t="s">
        <v>0</v>
      </c>
      <c r="E4" s="19" t="s">
        <v>23</v>
      </c>
      <c r="F4" s="19" t="s">
        <v>190</v>
      </c>
      <c r="G4" s="19" t="s">
        <v>191</v>
      </c>
      <c r="H4" s="19" t="s">
        <v>192</v>
      </c>
      <c r="I4" s="19" t="s">
        <v>4</v>
      </c>
      <c r="J4" s="19" t="s">
        <v>2</v>
      </c>
      <c r="K4" s="19" t="s">
        <v>17</v>
      </c>
    </row>
    <row r="5" spans="1:16">
      <c r="A5" s="23"/>
      <c r="B5" s="26">
        <f>IF(OptObjective[[#This Row],[Active]]=TRUE,1,0)</f>
        <v>0</v>
      </c>
      <c r="C5" s="27" t="b">
        <v>0</v>
      </c>
      <c r="D5" s="25" t="s">
        <v>354</v>
      </c>
      <c r="E5" s="35">
        <v>7</v>
      </c>
      <c r="F5" s="35" t="s">
        <v>354</v>
      </c>
      <c r="G5" s="35" t="s">
        <v>351</v>
      </c>
      <c r="H5" s="35">
        <v>1</v>
      </c>
      <c r="I5" s="30"/>
      <c r="J5" s="30">
        <v>1</v>
      </c>
      <c r="K5" s="32">
        <v>243</v>
      </c>
    </row>
    <row r="6" spans="1:16">
      <c r="B6" s="95">
        <f>IF(OptObjective[[#This Row],[Active]]=TRUE,1,0)</f>
        <v>0</v>
      </c>
      <c r="C6" s="96" t="b">
        <v>0</v>
      </c>
      <c r="D6" s="95" t="s">
        <v>355</v>
      </c>
      <c r="E6" s="97">
        <v>1</v>
      </c>
      <c r="F6" s="97" t="s">
        <v>355</v>
      </c>
      <c r="G6" s="97" t="s">
        <v>351</v>
      </c>
      <c r="H6" s="97">
        <v>1</v>
      </c>
      <c r="I6" s="98"/>
      <c r="J6" s="98">
        <v>1</v>
      </c>
      <c r="K6" s="99">
        <v>253</v>
      </c>
    </row>
    <row r="7" spans="1:16">
      <c r="B7" s="95">
        <f>IF(OptObjective[[#This Row],[Active]]=TRUE,1,0)</f>
        <v>0</v>
      </c>
      <c r="C7" s="96" t="b">
        <v>0</v>
      </c>
      <c r="D7" s="95" t="s">
        <v>356</v>
      </c>
      <c r="E7" s="97">
        <v>2</v>
      </c>
      <c r="F7" s="97" t="s">
        <v>356</v>
      </c>
      <c r="G7" s="97" t="s">
        <v>351</v>
      </c>
      <c r="H7" s="97">
        <v>1</v>
      </c>
      <c r="I7" s="98"/>
      <c r="J7" s="98">
        <v>1</v>
      </c>
      <c r="K7" s="99">
        <v>263</v>
      </c>
    </row>
    <row r="8" spans="1:16">
      <c r="B8" s="95">
        <f>IF(OptObjective[[#This Row],[Active]]=TRUE,1,0)</f>
        <v>0</v>
      </c>
      <c r="C8" s="96" t="b">
        <v>0</v>
      </c>
      <c r="D8" s="95" t="s">
        <v>352</v>
      </c>
      <c r="E8" s="97">
        <v>5</v>
      </c>
      <c r="F8" s="97" t="s">
        <v>352</v>
      </c>
      <c r="G8" s="97" t="s">
        <v>351</v>
      </c>
      <c r="H8" s="97">
        <v>1</v>
      </c>
      <c r="I8" s="98"/>
      <c r="J8" s="98">
        <v>1</v>
      </c>
      <c r="K8" s="99">
        <v>273</v>
      </c>
    </row>
    <row r="9" spans="1:16">
      <c r="B9" s="95">
        <f>IF(OptObjective[[#This Row],[Active]]=TRUE,1,0)</f>
        <v>0</v>
      </c>
      <c r="C9" s="96" t="b">
        <v>0</v>
      </c>
      <c r="D9" s="95" t="s">
        <v>349</v>
      </c>
      <c r="E9" s="97">
        <v>4</v>
      </c>
      <c r="F9" s="97" t="s">
        <v>350</v>
      </c>
      <c r="G9" s="97" t="s">
        <v>351</v>
      </c>
      <c r="H9" s="97">
        <v>1</v>
      </c>
      <c r="I9" s="98"/>
      <c r="J9" s="98">
        <v>1</v>
      </c>
      <c r="K9" s="99">
        <v>283</v>
      </c>
    </row>
    <row r="10" spans="1:16">
      <c r="B10" s="95">
        <f>IF(OptObjective[[#This Row],[Active]]=TRUE,1,0)</f>
        <v>0</v>
      </c>
      <c r="C10" s="96" t="b">
        <v>0</v>
      </c>
      <c r="D10" s="95" t="s">
        <v>347</v>
      </c>
      <c r="E10" s="97">
        <v>3</v>
      </c>
      <c r="F10" s="97" t="s">
        <v>348</v>
      </c>
      <c r="G10" s="97" t="s">
        <v>346</v>
      </c>
      <c r="H10" s="97">
        <v>1</v>
      </c>
      <c r="I10" s="98"/>
      <c r="J10" s="98">
        <v>1</v>
      </c>
      <c r="K10" s="99">
        <v>293</v>
      </c>
    </row>
    <row r="11" spans="1:16">
      <c r="B11" s="95">
        <f>IF(OptObjective[[#This Row],[Active]]=TRUE,1,0)</f>
        <v>0</v>
      </c>
      <c r="C11" s="96" t="b">
        <v>0</v>
      </c>
      <c r="D11" s="95" t="s">
        <v>353</v>
      </c>
      <c r="E11" s="97">
        <v>6</v>
      </c>
      <c r="F11" s="97" t="s">
        <v>353</v>
      </c>
      <c r="G11" s="97" t="s">
        <v>351</v>
      </c>
      <c r="H11" s="97">
        <v>1</v>
      </c>
      <c r="I11" s="98"/>
      <c r="J11" s="98">
        <v>1</v>
      </c>
      <c r="K11" s="99">
        <v>303</v>
      </c>
    </row>
    <row r="12" spans="1:16">
      <c r="B12" s="95">
        <f>IF(OptObjective[[#This Row],[Active]]=TRUE,1,0)</f>
        <v>1</v>
      </c>
      <c r="C12" s="96" t="b">
        <v>1</v>
      </c>
      <c r="D12" s="95" t="s">
        <v>185</v>
      </c>
      <c r="E12" s="97">
        <v>0</v>
      </c>
      <c r="F12" s="97" t="s">
        <v>345</v>
      </c>
      <c r="G12" s="97" t="s">
        <v>346</v>
      </c>
      <c r="H12" s="97">
        <v>1</v>
      </c>
      <c r="I12" s="98"/>
      <c r="J12" s="98">
        <v>1</v>
      </c>
      <c r="K12" s="99">
        <v>313</v>
      </c>
    </row>
  </sheetData>
  <dataConsolidate/>
  <conditionalFormatting sqref="B5:K12">
    <cfRule type="expression" dxfId="315" priority="1">
      <formula>$C5 = FALSE</formula>
    </cfRule>
  </conditionalFormatting>
  <conditionalFormatting sqref="C5:C12">
    <cfRule type="containsText" dxfId="314" priority="2" operator="containsText" text="TRUE">
      <formula>NOT(ISERROR(SEARCH("TRUE",C5)))</formula>
    </cfRule>
    <cfRule type="containsText" dxfId="313" priority="3" operator="containsText" text="FALSE">
      <formula>NOT(ISERROR(SEARCH("FALSE",C5)))</formula>
    </cfRule>
  </conditionalFormatting>
  <dataValidations count="3">
    <dataValidation type="list" allowBlank="1" showInputMessage="1" showErrorMessage="1" sqref="C5:C12" xr:uid="{00000000-0002-0000-0100-000000000000}">
      <formula1>"TRUE, FALSE"</formula1>
    </dataValidation>
    <dataValidation type="list" allowBlank="1" showInputMessage="1" showErrorMessage="1" sqref="F5:F12" xr:uid="{00000000-0002-0000-0100-000001000000}">
      <formula1>"REVENEUE_STANDARD_DEVIATION, MEAN_REVENUE, POSITIVE_REVENUE_PERCENT, NEGATIVE_REVENUE_PERCENT, MEAN_TVP, MEAN_DENSITY, MEAN_SULFUR, CUSTOM_RISK_INDEX"</formula1>
    </dataValidation>
    <dataValidation type="list" allowBlank="1" showInputMessage="1" showErrorMessage="1" sqref="G5:G12" xr:uid="{00000000-0002-0000-0100-000002000000}">
      <formula1>"MINIMIZE, MAXIMIZE"</formula1>
    </dataValidation>
  </dataValidations>
  <pageMargins left="0.7" right="0.7" top="0.75" bottom="0.75" header="0.3" footer="0.3"/>
  <pageSetup scale="59"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187"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FF00"/>
    <pageSetUpPr fitToPage="1"/>
  </sheetPr>
  <dimension ref="A1:Q40"/>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D24" sqref="D24"/>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106" t="s">
        <v>223</v>
      </c>
      <c r="C2" s="106"/>
      <c r="D2" s="106"/>
      <c r="E2" s="106"/>
      <c r="F2" s="24"/>
    </row>
    <row r="3" spans="1:17" s="4" customFormat="1" ht="9" customHeight="1" thickTop="1">
      <c r="A3" s="22"/>
      <c r="C3" s="21"/>
    </row>
    <row r="4" spans="1:17" s="13" customFormat="1" ht="15" customHeight="1">
      <c r="A4" s="22"/>
      <c r="B4" s="78" t="s">
        <v>11</v>
      </c>
      <c r="C4" s="79" t="s">
        <v>1</v>
      </c>
      <c r="D4" s="79" t="s">
        <v>0</v>
      </c>
      <c r="E4" s="79" t="s">
        <v>3</v>
      </c>
      <c r="F4" s="79" t="s">
        <v>230</v>
      </c>
      <c r="G4" s="79" t="s">
        <v>141</v>
      </c>
      <c r="H4" s="79" t="s">
        <v>111</v>
      </c>
      <c r="I4" s="79" t="s">
        <v>225</v>
      </c>
      <c r="J4" s="79" t="s">
        <v>224</v>
      </c>
      <c r="K4" s="79" t="s">
        <v>4</v>
      </c>
      <c r="L4" s="19" t="s">
        <v>307</v>
      </c>
      <c r="M4" s="19" t="s">
        <v>308</v>
      </c>
      <c r="N4" s="19" t="s">
        <v>17</v>
      </c>
    </row>
    <row r="5" spans="1:17">
      <c r="A5" s="23"/>
      <c r="B5" s="80">
        <f>IF(Commodities[[#This Row],[Active]]=TRUE,1,0)</f>
        <v>1</v>
      </c>
      <c r="C5" s="81" t="b">
        <v>1</v>
      </c>
      <c r="D5" s="82" t="s">
        <v>226</v>
      </c>
      <c r="E5" s="72" t="s">
        <v>227</v>
      </c>
      <c r="F5" s="77"/>
      <c r="G5" s="81" t="b">
        <v>1</v>
      </c>
      <c r="H5" s="77" t="s">
        <v>277</v>
      </c>
      <c r="I5" s="77" t="s">
        <v>304</v>
      </c>
      <c r="J5" s="81" t="b">
        <v>0</v>
      </c>
      <c r="K5" s="72"/>
      <c r="L5" s="35">
        <f>IF(Commodities[[#This Row],[Material Type]]="","",INDEX(MaterialTypes[ID],MATCH(Commodities[[#This Row],[Material Type]],MaterialTypes[Code],0)))</f>
        <v>2</v>
      </c>
      <c r="M5" s="35">
        <f>IF(Commodities[[#This Row],[Product Type]]="","",INDEX(ProductTypes[ID],MATCH(Commodities[[#This Row],[Product Type]],ProductTypes[Code],0)))</f>
        <v>15</v>
      </c>
      <c r="N5" s="32">
        <v>881</v>
      </c>
    </row>
    <row r="6" spans="1:17">
      <c r="B6" s="95">
        <f>IF(Commodities[[#This Row],[Active]]=TRUE,1,0)</f>
        <v>1</v>
      </c>
      <c r="C6" s="96" t="b">
        <v>1</v>
      </c>
      <c r="D6" s="95" t="s">
        <v>231</v>
      </c>
      <c r="E6" s="98" t="s">
        <v>231</v>
      </c>
      <c r="F6" s="35"/>
      <c r="G6" s="100" t="b">
        <v>1</v>
      </c>
      <c r="H6" s="97" t="s">
        <v>277</v>
      </c>
      <c r="I6" s="97" t="s">
        <v>304</v>
      </c>
      <c r="J6" s="100" t="b">
        <v>0</v>
      </c>
      <c r="K6" s="98"/>
      <c r="L6" s="97">
        <f>IF(Commodities[[#This Row],[Material Type]]="","",INDEX(MaterialTypes[ID],MATCH(Commodities[[#This Row],[Material Type]],MaterialTypes[Code],0)))</f>
        <v>2</v>
      </c>
      <c r="M6" s="97">
        <f>IF(Commodities[[#This Row],[Product Type]]="","",INDEX(ProductTypes[ID],MATCH(Commodities[[#This Row],[Product Type]],ProductTypes[Code],0)))</f>
        <v>15</v>
      </c>
      <c r="N6" s="99">
        <v>882</v>
      </c>
    </row>
    <row r="7" spans="1:17">
      <c r="B7" s="95">
        <f>IF(Commodities[[#This Row],[Active]]=TRUE,1,0)</f>
        <v>1</v>
      </c>
      <c r="C7" s="96" t="b">
        <v>1</v>
      </c>
      <c r="D7" s="95" t="s">
        <v>232</v>
      </c>
      <c r="E7" s="98" t="s">
        <v>232</v>
      </c>
      <c r="F7" s="35"/>
      <c r="G7" s="100" t="b">
        <v>1</v>
      </c>
      <c r="H7" s="97" t="s">
        <v>277</v>
      </c>
      <c r="I7" s="97" t="s">
        <v>304</v>
      </c>
      <c r="J7" s="100" t="b">
        <v>0</v>
      </c>
      <c r="K7" s="98"/>
      <c r="L7" s="97">
        <f>IF(Commodities[[#This Row],[Material Type]]="","",INDEX(MaterialTypes[ID],MATCH(Commodities[[#This Row],[Material Type]],MaterialTypes[Code],0)))</f>
        <v>2</v>
      </c>
      <c r="M7" s="97">
        <f>IF(Commodities[[#This Row],[Product Type]]="","",INDEX(ProductTypes[ID],MATCH(Commodities[[#This Row],[Product Type]],ProductTypes[Code],0)))</f>
        <v>15</v>
      </c>
      <c r="N7" s="99">
        <v>883</v>
      </c>
    </row>
    <row r="8" spans="1:17">
      <c r="B8" s="95">
        <f>IF(Commodities[[#This Row],[Active]]=TRUE,1,0)</f>
        <v>1</v>
      </c>
      <c r="C8" s="96" t="b">
        <v>1</v>
      </c>
      <c r="D8" s="95" t="s">
        <v>233</v>
      </c>
      <c r="E8" s="98" t="s">
        <v>233</v>
      </c>
      <c r="F8" s="35"/>
      <c r="G8" s="100" t="b">
        <v>1</v>
      </c>
      <c r="H8" s="97" t="s">
        <v>277</v>
      </c>
      <c r="I8" s="97" t="s">
        <v>304</v>
      </c>
      <c r="J8" s="100" t="b">
        <v>0</v>
      </c>
      <c r="K8" s="98"/>
      <c r="L8" s="97">
        <f>IF(Commodities[[#This Row],[Material Type]]="","",INDEX(MaterialTypes[ID],MATCH(Commodities[[#This Row],[Material Type]],MaterialTypes[Code],0)))</f>
        <v>2</v>
      </c>
      <c r="M8" s="97">
        <f>IF(Commodities[[#This Row],[Product Type]]="","",INDEX(ProductTypes[ID],MATCH(Commodities[[#This Row],[Product Type]],ProductTypes[Code],0)))</f>
        <v>15</v>
      </c>
      <c r="N8" s="99">
        <v>884</v>
      </c>
    </row>
    <row r="9" spans="1:17">
      <c r="B9" s="95">
        <f>IF(Commodities[[#This Row],[Active]]=TRUE,1,0)</f>
        <v>1</v>
      </c>
      <c r="C9" s="96" t="b">
        <v>1</v>
      </c>
      <c r="D9" s="95" t="s">
        <v>234</v>
      </c>
      <c r="E9" s="98" t="s">
        <v>234</v>
      </c>
      <c r="F9" s="35"/>
      <c r="G9" s="100" t="b">
        <v>1</v>
      </c>
      <c r="H9" s="97" t="s">
        <v>277</v>
      </c>
      <c r="I9" s="97" t="s">
        <v>304</v>
      </c>
      <c r="J9" s="100" t="b">
        <v>0</v>
      </c>
      <c r="K9" s="98"/>
      <c r="L9" s="97">
        <f>IF(Commodities[[#This Row],[Material Type]]="","",INDEX(MaterialTypes[ID],MATCH(Commodities[[#This Row],[Material Type]],MaterialTypes[Code],0)))</f>
        <v>2</v>
      </c>
      <c r="M9" s="97">
        <f>IF(Commodities[[#This Row],[Product Type]]="","",INDEX(ProductTypes[ID],MATCH(Commodities[[#This Row],[Product Type]],ProductTypes[Code],0)))</f>
        <v>15</v>
      </c>
      <c r="N9" s="99">
        <v>885</v>
      </c>
    </row>
    <row r="10" spans="1:17">
      <c r="B10" s="95">
        <f>IF(Commodities[[#This Row],[Active]]=TRUE,1,0)</f>
        <v>1</v>
      </c>
      <c r="C10" s="96" t="b">
        <v>1</v>
      </c>
      <c r="D10" s="95" t="s">
        <v>206</v>
      </c>
      <c r="E10" s="98" t="s">
        <v>271</v>
      </c>
      <c r="F10" s="35"/>
      <c r="G10" s="100" t="b">
        <v>0</v>
      </c>
      <c r="H10" s="97" t="s">
        <v>206</v>
      </c>
      <c r="I10" s="97" t="s">
        <v>302</v>
      </c>
      <c r="J10" s="100" t="b">
        <v>0</v>
      </c>
      <c r="K10" s="98"/>
      <c r="L10" s="97">
        <f>IF(Commodities[[#This Row],[Material Type]]="","",INDEX(MaterialTypes[ID],MATCH(Commodities[[#This Row],[Material Type]],MaterialTypes[Code],0)))</f>
        <v>14</v>
      </c>
      <c r="M10" s="97">
        <f>IF(Commodities[[#This Row],[Product Type]]="","",INDEX(ProductTypes[ID],MATCH(Commodities[[#This Row],[Product Type]],ProductTypes[Code],0)))</f>
        <v>13</v>
      </c>
      <c r="N10" s="99">
        <v>910</v>
      </c>
    </row>
    <row r="11" spans="1:17">
      <c r="B11" s="95">
        <f>IF(Commodities[[#This Row],[Active]]=TRUE,1,0)</f>
        <v>1</v>
      </c>
      <c r="C11" s="96" t="b">
        <v>1</v>
      </c>
      <c r="D11" s="95" t="s">
        <v>235</v>
      </c>
      <c r="E11" s="98" t="s">
        <v>236</v>
      </c>
      <c r="F11" s="35"/>
      <c r="G11" s="100" t="b">
        <v>1</v>
      </c>
      <c r="H11" s="97" t="s">
        <v>289</v>
      </c>
      <c r="I11" s="97" t="s">
        <v>304</v>
      </c>
      <c r="J11" s="100" t="b">
        <v>0</v>
      </c>
      <c r="K11" s="98"/>
      <c r="L11" s="97">
        <f>IF(Commodities[[#This Row],[Material Type]]="","",INDEX(MaterialTypes[ID],MATCH(Commodities[[#This Row],[Material Type]],MaterialTypes[Code],0)))</f>
        <v>8</v>
      </c>
      <c r="M11" s="97">
        <f>IF(Commodities[[#This Row],[Product Type]]="","",INDEX(ProductTypes[ID],MATCH(Commodities[[#This Row],[Product Type]],ProductTypes[Code],0)))</f>
        <v>15</v>
      </c>
      <c r="N11" s="99">
        <v>886</v>
      </c>
    </row>
    <row r="12" spans="1:17">
      <c r="B12" s="95">
        <f>IF(Commodities[[#This Row],[Active]]=TRUE,1,0)</f>
        <v>1</v>
      </c>
      <c r="C12" s="96" t="b">
        <v>1</v>
      </c>
      <c r="D12" s="95" t="s">
        <v>237</v>
      </c>
      <c r="E12" s="98" t="s">
        <v>238</v>
      </c>
      <c r="F12" s="35"/>
      <c r="G12" s="100" t="b">
        <v>1</v>
      </c>
      <c r="H12" s="97" t="s">
        <v>289</v>
      </c>
      <c r="I12" s="97" t="s">
        <v>304</v>
      </c>
      <c r="J12" s="100" t="b">
        <v>0</v>
      </c>
      <c r="K12" s="98"/>
      <c r="L12" s="97">
        <f>IF(Commodities[[#This Row],[Material Type]]="","",INDEX(MaterialTypes[ID],MATCH(Commodities[[#This Row],[Material Type]],MaterialTypes[Code],0)))</f>
        <v>8</v>
      </c>
      <c r="M12" s="97">
        <f>IF(Commodities[[#This Row],[Product Type]]="","",INDEX(ProductTypes[ID],MATCH(Commodities[[#This Row],[Product Type]],ProductTypes[Code],0)))</f>
        <v>15</v>
      </c>
      <c r="N12" s="99">
        <v>887</v>
      </c>
    </row>
    <row r="13" spans="1:17">
      <c r="B13" s="95">
        <f>IF(Commodities[[#This Row],[Active]]=TRUE,1,0)</f>
        <v>1</v>
      </c>
      <c r="C13" s="96" t="b">
        <v>1</v>
      </c>
      <c r="D13" s="95" t="s">
        <v>272</v>
      </c>
      <c r="E13" s="98" t="s">
        <v>273</v>
      </c>
      <c r="F13" s="35"/>
      <c r="G13" s="100" t="b">
        <v>1</v>
      </c>
      <c r="H13" s="97" t="s">
        <v>272</v>
      </c>
      <c r="I13" s="97" t="s">
        <v>303</v>
      </c>
      <c r="J13" s="100" t="b">
        <v>0</v>
      </c>
      <c r="K13" s="98"/>
      <c r="L13" s="97">
        <f>IF(Commodities[[#This Row],[Material Type]]="","",INDEX(MaterialTypes[ID],MATCH(Commodities[[#This Row],[Material Type]],MaterialTypes[Code],0)))</f>
        <v>16</v>
      </c>
      <c r="M13" s="97">
        <f>IF(Commodities[[#This Row],[Product Type]]="","",INDEX(ProductTypes[ID],MATCH(Commodities[[#This Row],[Product Type]],ProductTypes[Code],0)))</f>
        <v>14</v>
      </c>
      <c r="N13" s="99">
        <v>911</v>
      </c>
    </row>
    <row r="14" spans="1:17">
      <c r="B14" s="95">
        <f>IF(Commodities[[#This Row],[Active]]=TRUE,1,0)</f>
        <v>1</v>
      </c>
      <c r="C14" s="96" t="b">
        <v>1</v>
      </c>
      <c r="D14" s="95" t="s">
        <v>239</v>
      </c>
      <c r="E14" s="98" t="s">
        <v>239</v>
      </c>
      <c r="F14" s="35"/>
      <c r="G14" s="100" t="b">
        <v>1</v>
      </c>
      <c r="H14" s="97" t="s">
        <v>289</v>
      </c>
      <c r="I14" s="97" t="s">
        <v>304</v>
      </c>
      <c r="J14" s="100" t="b">
        <v>0</v>
      </c>
      <c r="K14" s="98"/>
      <c r="L14" s="97">
        <f>IF(Commodities[[#This Row],[Material Type]]="","",INDEX(MaterialTypes[ID],MATCH(Commodities[[#This Row],[Material Type]],MaterialTypes[Code],0)))</f>
        <v>8</v>
      </c>
      <c r="M14" s="97">
        <f>IF(Commodities[[#This Row],[Product Type]]="","",INDEX(ProductTypes[ID],MATCH(Commodities[[#This Row],[Product Type]],ProductTypes[Code],0)))</f>
        <v>15</v>
      </c>
      <c r="N14" s="99">
        <v>888</v>
      </c>
    </row>
    <row r="15" spans="1:17">
      <c r="B15" s="95">
        <f>IF(Commodities[[#This Row],[Active]]=TRUE,1,0)</f>
        <v>1</v>
      </c>
      <c r="C15" s="96" t="b">
        <v>1</v>
      </c>
      <c r="D15" s="95" t="s">
        <v>240</v>
      </c>
      <c r="E15" s="98" t="s">
        <v>241</v>
      </c>
      <c r="F15" s="35"/>
      <c r="G15" s="100" t="b">
        <v>1</v>
      </c>
      <c r="H15" s="97" t="s">
        <v>289</v>
      </c>
      <c r="I15" s="97" t="s">
        <v>304</v>
      </c>
      <c r="J15" s="100" t="b">
        <v>0</v>
      </c>
      <c r="K15" s="98"/>
      <c r="L15" s="97">
        <f>IF(Commodities[[#This Row],[Material Type]]="","",INDEX(MaterialTypes[ID],MATCH(Commodities[[#This Row],[Material Type]],MaterialTypes[Code],0)))</f>
        <v>8</v>
      </c>
      <c r="M15" s="97">
        <f>IF(Commodities[[#This Row],[Product Type]]="","",INDEX(ProductTypes[ID],MATCH(Commodities[[#This Row],[Product Type]],ProductTypes[Code],0)))</f>
        <v>15</v>
      </c>
      <c r="N15" s="99">
        <v>889</v>
      </c>
    </row>
    <row r="16" spans="1:17">
      <c r="B16" s="95">
        <f>IF(Commodities[[#This Row],[Active]]=TRUE,1,0)</f>
        <v>1</v>
      </c>
      <c r="C16" s="96" t="b">
        <v>1</v>
      </c>
      <c r="D16" s="95" t="s">
        <v>242</v>
      </c>
      <c r="E16" s="98" t="s">
        <v>242</v>
      </c>
      <c r="F16" s="35"/>
      <c r="G16" s="100" t="b">
        <v>1</v>
      </c>
      <c r="H16" s="97" t="s">
        <v>289</v>
      </c>
      <c r="I16" s="97" t="s">
        <v>304</v>
      </c>
      <c r="J16" s="100" t="b">
        <v>0</v>
      </c>
      <c r="K16" s="98"/>
      <c r="L16" s="97">
        <f>IF(Commodities[[#This Row],[Material Type]]="","",INDEX(MaterialTypes[ID],MATCH(Commodities[[#This Row],[Material Type]],MaterialTypes[Code],0)))</f>
        <v>8</v>
      </c>
      <c r="M16" s="97">
        <f>IF(Commodities[[#This Row],[Product Type]]="","",INDEX(ProductTypes[ID],MATCH(Commodities[[#This Row],[Product Type]],ProductTypes[Code],0)))</f>
        <v>15</v>
      </c>
      <c r="N16" s="99">
        <v>890</v>
      </c>
    </row>
    <row r="17" spans="2:14">
      <c r="B17" s="95">
        <f>IF(Commodities[[#This Row],[Active]]=TRUE,1,0)</f>
        <v>1</v>
      </c>
      <c r="C17" s="96" t="b">
        <v>1</v>
      </c>
      <c r="D17" s="95" t="s">
        <v>243</v>
      </c>
      <c r="E17" s="98" t="s">
        <v>244</v>
      </c>
      <c r="F17" s="35"/>
      <c r="G17" s="100" t="b">
        <v>1</v>
      </c>
      <c r="H17" s="97" t="s">
        <v>289</v>
      </c>
      <c r="I17" s="97" t="s">
        <v>304</v>
      </c>
      <c r="J17" s="100" t="b">
        <v>0</v>
      </c>
      <c r="K17" s="98"/>
      <c r="L17" s="97">
        <f>IF(Commodities[[#This Row],[Material Type]]="","",INDEX(MaterialTypes[ID],MATCH(Commodities[[#This Row],[Material Type]],MaterialTypes[Code],0)))</f>
        <v>8</v>
      </c>
      <c r="M17" s="97">
        <f>IF(Commodities[[#This Row],[Product Type]]="","",INDEX(ProductTypes[ID],MATCH(Commodities[[#This Row],[Product Type]],ProductTypes[Code],0)))</f>
        <v>15</v>
      </c>
      <c r="N17" s="99">
        <v>891</v>
      </c>
    </row>
    <row r="18" spans="2:14">
      <c r="B18" s="95">
        <f>IF(Commodities[[#This Row],[Active]]=TRUE,1,0)</f>
        <v>1</v>
      </c>
      <c r="C18" s="96" t="b">
        <v>1</v>
      </c>
      <c r="D18" s="95" t="s">
        <v>155</v>
      </c>
      <c r="E18" s="98" t="s">
        <v>155</v>
      </c>
      <c r="F18" s="35"/>
      <c r="G18" s="100" t="b">
        <v>1</v>
      </c>
      <c r="H18" s="97" t="s">
        <v>289</v>
      </c>
      <c r="I18" s="97" t="s">
        <v>304</v>
      </c>
      <c r="J18" s="100" t="b">
        <v>0</v>
      </c>
      <c r="K18" s="98"/>
      <c r="L18" s="97">
        <f>IF(Commodities[[#This Row],[Material Type]]="","",INDEX(MaterialTypes[ID],MATCH(Commodities[[#This Row],[Material Type]],MaterialTypes[Code],0)))</f>
        <v>8</v>
      </c>
      <c r="M18" s="97">
        <f>IF(Commodities[[#This Row],[Product Type]]="","",INDEX(ProductTypes[ID],MATCH(Commodities[[#This Row],[Product Type]],ProductTypes[Code],0)))</f>
        <v>15</v>
      </c>
      <c r="N18" s="99">
        <v>912</v>
      </c>
    </row>
    <row r="19" spans="2:14">
      <c r="B19" s="95">
        <f>IF(Commodities[[#This Row],[Active]]=TRUE,1,0)</f>
        <v>1</v>
      </c>
      <c r="C19" s="96" t="b">
        <v>1</v>
      </c>
      <c r="D19" s="95" t="s">
        <v>245</v>
      </c>
      <c r="E19" s="98" t="s">
        <v>246</v>
      </c>
      <c r="F19" s="35"/>
      <c r="G19" s="100" t="b">
        <v>1</v>
      </c>
      <c r="H19" s="97" t="s">
        <v>289</v>
      </c>
      <c r="I19" s="97" t="s">
        <v>304</v>
      </c>
      <c r="J19" s="100" t="b">
        <v>0</v>
      </c>
      <c r="K19" s="98"/>
      <c r="L19" s="97">
        <f>IF(Commodities[[#This Row],[Material Type]]="","",INDEX(MaterialTypes[ID],MATCH(Commodities[[#This Row],[Material Type]],MaterialTypes[Code],0)))</f>
        <v>8</v>
      </c>
      <c r="M19" s="97">
        <f>IF(Commodities[[#This Row],[Product Type]]="","",INDEX(ProductTypes[ID],MATCH(Commodities[[#This Row],[Product Type]],ProductTypes[Code],0)))</f>
        <v>15</v>
      </c>
      <c r="N19" s="99">
        <v>892</v>
      </c>
    </row>
    <row r="20" spans="2:14">
      <c r="B20" s="95">
        <f>IF(Commodities[[#This Row],[Active]]=TRUE,1,0)</f>
        <v>1</v>
      </c>
      <c r="C20" s="96" t="b">
        <v>1</v>
      </c>
      <c r="D20" s="95" t="s">
        <v>135</v>
      </c>
      <c r="E20" s="98" t="s">
        <v>135</v>
      </c>
      <c r="F20" s="35"/>
      <c r="G20" s="100" t="b">
        <v>1</v>
      </c>
      <c r="H20" s="97" t="s">
        <v>297</v>
      </c>
      <c r="I20" s="97" t="s">
        <v>304</v>
      </c>
      <c r="J20" s="100" t="b">
        <v>0</v>
      </c>
      <c r="K20" s="98"/>
      <c r="L20" s="97">
        <f>IF(Commodities[[#This Row],[Material Type]]="","",INDEX(MaterialTypes[ID],MATCH(Commodities[[#This Row],[Material Type]],MaterialTypes[Code],0)))</f>
        <v>15</v>
      </c>
      <c r="M20" s="97">
        <f>IF(Commodities[[#This Row],[Product Type]]="","",INDEX(ProductTypes[ID],MATCH(Commodities[[#This Row],[Product Type]],ProductTypes[Code],0)))</f>
        <v>15</v>
      </c>
      <c r="N20" s="99">
        <v>913</v>
      </c>
    </row>
    <row r="21" spans="2:14">
      <c r="B21" s="95">
        <f>IF(Commodities[[#This Row],[Active]]=TRUE,1,0)</f>
        <v>1</v>
      </c>
      <c r="C21" s="96" t="b">
        <v>1</v>
      </c>
      <c r="D21" s="95" t="s">
        <v>247</v>
      </c>
      <c r="E21" s="98" t="s">
        <v>248</v>
      </c>
      <c r="F21" s="35"/>
      <c r="G21" s="100" t="b">
        <v>1</v>
      </c>
      <c r="H21" s="97" t="s">
        <v>122</v>
      </c>
      <c r="I21" s="97" t="s">
        <v>304</v>
      </c>
      <c r="J21" s="100" t="b">
        <v>0</v>
      </c>
      <c r="K21" s="98"/>
      <c r="L21" s="97">
        <f>IF(Commodities[[#This Row],[Material Type]]="","",INDEX(MaterialTypes[ID],MATCH(Commodities[[#This Row],[Material Type]],MaterialTypes[Code],0)))</f>
        <v>9</v>
      </c>
      <c r="M21" s="97">
        <f>IF(Commodities[[#This Row],[Product Type]]="","",INDEX(ProductTypes[ID],MATCH(Commodities[[#This Row],[Product Type]],ProductTypes[Code],0)))</f>
        <v>15</v>
      </c>
      <c r="N21" s="99">
        <v>893</v>
      </c>
    </row>
    <row r="22" spans="2:14">
      <c r="B22" s="95">
        <f>IF(Commodities[[#This Row],[Active]]=TRUE,1,0)</f>
        <v>1</v>
      </c>
      <c r="C22" s="96" t="b">
        <v>1</v>
      </c>
      <c r="D22" s="95" t="s">
        <v>249</v>
      </c>
      <c r="E22" s="98" t="s">
        <v>249</v>
      </c>
      <c r="F22" s="35"/>
      <c r="G22" s="100" t="b">
        <v>1</v>
      </c>
      <c r="H22" s="97" t="s">
        <v>289</v>
      </c>
      <c r="I22" s="97" t="s">
        <v>304</v>
      </c>
      <c r="J22" s="100" t="b">
        <v>0</v>
      </c>
      <c r="K22" s="98"/>
      <c r="L22" s="97">
        <f>IF(Commodities[[#This Row],[Material Type]]="","",INDEX(MaterialTypes[ID],MATCH(Commodities[[#This Row],[Material Type]],MaterialTypes[Code],0)))</f>
        <v>8</v>
      </c>
      <c r="M22" s="97">
        <f>IF(Commodities[[#This Row],[Product Type]]="","",INDEX(ProductTypes[ID],MATCH(Commodities[[#This Row],[Product Type]],ProductTypes[Code],0)))</f>
        <v>15</v>
      </c>
      <c r="N22" s="99">
        <v>894</v>
      </c>
    </row>
    <row r="23" spans="2:14">
      <c r="B23" s="95">
        <f>IF(Commodities[[#This Row],[Active]]=TRUE,1,0)</f>
        <v>1</v>
      </c>
      <c r="C23" s="96" t="b">
        <v>1</v>
      </c>
      <c r="D23" s="95" t="s">
        <v>250</v>
      </c>
      <c r="E23" s="98" t="s">
        <v>250</v>
      </c>
      <c r="F23" s="35"/>
      <c r="G23" s="100" t="b">
        <v>1</v>
      </c>
      <c r="H23" s="97" t="s">
        <v>289</v>
      </c>
      <c r="I23" s="97" t="s">
        <v>304</v>
      </c>
      <c r="J23" s="100" t="b">
        <v>0</v>
      </c>
      <c r="K23" s="98"/>
      <c r="L23" s="97">
        <f>IF(Commodities[[#This Row],[Material Type]]="","",INDEX(MaterialTypes[ID],MATCH(Commodities[[#This Row],[Material Type]],MaterialTypes[Code],0)))</f>
        <v>8</v>
      </c>
      <c r="M23" s="97">
        <f>IF(Commodities[[#This Row],[Product Type]]="","",INDEX(ProductTypes[ID],MATCH(Commodities[[#This Row],[Product Type]],ProductTypes[Code],0)))</f>
        <v>15</v>
      </c>
      <c r="N23" s="99">
        <v>895</v>
      </c>
    </row>
    <row r="24" spans="2:14">
      <c r="B24" s="95">
        <f>IF(Commodities[[#This Row],[Active]]=TRUE,1,0)</f>
        <v>1</v>
      </c>
      <c r="C24" s="96" t="b">
        <v>1</v>
      </c>
      <c r="D24" s="95" t="s">
        <v>251</v>
      </c>
      <c r="E24" s="98" t="s">
        <v>251</v>
      </c>
      <c r="F24" s="35"/>
      <c r="G24" s="100" t="b">
        <v>1</v>
      </c>
      <c r="H24" s="97" t="s">
        <v>289</v>
      </c>
      <c r="I24" s="97" t="s">
        <v>304</v>
      </c>
      <c r="J24" s="100" t="b">
        <v>0</v>
      </c>
      <c r="K24" s="98"/>
      <c r="L24" s="97">
        <f>IF(Commodities[[#This Row],[Material Type]]="","",INDEX(MaterialTypes[ID],MATCH(Commodities[[#This Row],[Material Type]],MaterialTypes[Code],0)))</f>
        <v>8</v>
      </c>
      <c r="M24" s="97">
        <f>IF(Commodities[[#This Row],[Product Type]]="","",INDEX(ProductTypes[ID],MATCH(Commodities[[#This Row],[Product Type]],ProductTypes[Code],0)))</f>
        <v>15</v>
      </c>
      <c r="N24" s="99">
        <v>896</v>
      </c>
    </row>
    <row r="25" spans="2:14">
      <c r="B25" s="95">
        <f>IF(Commodities[[#This Row],[Active]]=TRUE,1,0)</f>
        <v>1</v>
      </c>
      <c r="C25" s="96" t="b">
        <v>1</v>
      </c>
      <c r="D25" s="95" t="s">
        <v>252</v>
      </c>
      <c r="E25" s="98" t="s">
        <v>253</v>
      </c>
      <c r="F25" s="35"/>
      <c r="G25" s="100" t="b">
        <v>1</v>
      </c>
      <c r="H25" s="97" t="s">
        <v>289</v>
      </c>
      <c r="I25" s="97" t="s">
        <v>304</v>
      </c>
      <c r="J25" s="100" t="b">
        <v>0</v>
      </c>
      <c r="K25" s="98"/>
      <c r="L25" s="97">
        <f>IF(Commodities[[#This Row],[Material Type]]="","",INDEX(MaterialTypes[ID],MATCH(Commodities[[#This Row],[Material Type]],MaterialTypes[Code],0)))</f>
        <v>8</v>
      </c>
      <c r="M25" s="97">
        <f>IF(Commodities[[#This Row],[Product Type]]="","",INDEX(ProductTypes[ID],MATCH(Commodities[[#This Row],[Product Type]],ProductTypes[Code],0)))</f>
        <v>15</v>
      </c>
      <c r="N25" s="99">
        <v>897</v>
      </c>
    </row>
    <row r="26" spans="2:14">
      <c r="B26" s="95">
        <f>IF(Commodities[[#This Row],[Active]]=TRUE,1,0)</f>
        <v>1</v>
      </c>
      <c r="C26" s="96" t="b">
        <v>1</v>
      </c>
      <c r="D26" s="95" t="s">
        <v>254</v>
      </c>
      <c r="E26" s="98" t="s">
        <v>255</v>
      </c>
      <c r="F26" s="35"/>
      <c r="G26" s="100" t="b">
        <v>1</v>
      </c>
      <c r="H26" s="97" t="s">
        <v>289</v>
      </c>
      <c r="I26" s="97" t="s">
        <v>304</v>
      </c>
      <c r="J26" s="100" t="b">
        <v>0</v>
      </c>
      <c r="K26" s="98"/>
      <c r="L26" s="97">
        <f>IF(Commodities[[#This Row],[Material Type]]="","",INDEX(MaterialTypes[ID],MATCH(Commodities[[#This Row],[Material Type]],MaterialTypes[Code],0)))</f>
        <v>8</v>
      </c>
      <c r="M26" s="97">
        <f>IF(Commodities[[#This Row],[Product Type]]="","",INDEX(ProductTypes[ID],MATCH(Commodities[[#This Row],[Product Type]],ProductTypes[Code],0)))</f>
        <v>15</v>
      </c>
      <c r="N26" s="99">
        <v>898</v>
      </c>
    </row>
    <row r="27" spans="2:14">
      <c r="B27" s="95">
        <f>IF(Commodities[[#This Row],[Active]]=TRUE,1,0)</f>
        <v>1</v>
      </c>
      <c r="C27" s="96" t="b">
        <v>1</v>
      </c>
      <c r="D27" s="95" t="s">
        <v>256</v>
      </c>
      <c r="E27" s="98" t="s">
        <v>256</v>
      </c>
      <c r="F27" s="35"/>
      <c r="G27" s="100" t="b">
        <v>1</v>
      </c>
      <c r="H27" s="97" t="s">
        <v>289</v>
      </c>
      <c r="I27" s="97" t="s">
        <v>304</v>
      </c>
      <c r="J27" s="100" t="b">
        <v>0</v>
      </c>
      <c r="K27" s="98"/>
      <c r="L27" s="97">
        <f>IF(Commodities[[#This Row],[Material Type]]="","",INDEX(MaterialTypes[ID],MATCH(Commodities[[#This Row],[Material Type]],MaterialTypes[Code],0)))</f>
        <v>8</v>
      </c>
      <c r="M27" s="97">
        <f>IF(Commodities[[#This Row],[Product Type]]="","",INDEX(ProductTypes[ID],MATCH(Commodities[[#This Row],[Product Type]],ProductTypes[Code],0)))</f>
        <v>15</v>
      </c>
      <c r="N27" s="99">
        <v>899</v>
      </c>
    </row>
    <row r="28" spans="2:14">
      <c r="B28" s="95">
        <f>IF(Commodities[[#This Row],[Active]]=TRUE,1,0)</f>
        <v>1</v>
      </c>
      <c r="C28" s="96" t="b">
        <v>1</v>
      </c>
      <c r="D28" s="95" t="s">
        <v>257</v>
      </c>
      <c r="E28" s="98" t="s">
        <v>257</v>
      </c>
      <c r="F28" s="35"/>
      <c r="G28" s="100" t="b">
        <v>1</v>
      </c>
      <c r="H28" s="97" t="s">
        <v>289</v>
      </c>
      <c r="I28" s="97" t="s">
        <v>304</v>
      </c>
      <c r="J28" s="100" t="b">
        <v>0</v>
      </c>
      <c r="K28" s="98"/>
      <c r="L28" s="97">
        <f>IF(Commodities[[#This Row],[Material Type]]="","",INDEX(MaterialTypes[ID],MATCH(Commodities[[#This Row],[Material Type]],MaterialTypes[Code],0)))</f>
        <v>8</v>
      </c>
      <c r="M28" s="97">
        <f>IF(Commodities[[#This Row],[Product Type]]="","",INDEX(ProductTypes[ID],MATCH(Commodities[[#This Row],[Product Type]],ProductTypes[Code],0)))</f>
        <v>15</v>
      </c>
      <c r="N28" s="99">
        <v>900</v>
      </c>
    </row>
    <row r="29" spans="2:14">
      <c r="B29" s="95">
        <f>IF(Commodities[[#This Row],[Active]]=TRUE,1,0)</f>
        <v>1</v>
      </c>
      <c r="C29" s="96" t="b">
        <v>1</v>
      </c>
      <c r="D29" s="95" t="s">
        <v>258</v>
      </c>
      <c r="E29" s="98" t="s">
        <v>259</v>
      </c>
      <c r="F29" s="35"/>
      <c r="G29" s="100" t="b">
        <v>1</v>
      </c>
      <c r="H29" s="97" t="s">
        <v>289</v>
      </c>
      <c r="I29" s="97" t="s">
        <v>304</v>
      </c>
      <c r="J29" s="100" t="b">
        <v>0</v>
      </c>
      <c r="K29" s="98"/>
      <c r="L29" s="97">
        <f>IF(Commodities[[#This Row],[Material Type]]="","",INDEX(MaterialTypes[ID],MATCH(Commodities[[#This Row],[Material Type]],MaterialTypes[Code],0)))</f>
        <v>8</v>
      </c>
      <c r="M29" s="97">
        <f>IF(Commodities[[#This Row],[Product Type]]="","",INDEX(ProductTypes[ID],MATCH(Commodities[[#This Row],[Product Type]],ProductTypes[Code],0)))</f>
        <v>15</v>
      </c>
      <c r="N29" s="99">
        <v>901</v>
      </c>
    </row>
    <row r="30" spans="2:14">
      <c r="B30" s="95">
        <f>IF(Commodities[[#This Row],[Active]]=TRUE,1,0)</f>
        <v>1</v>
      </c>
      <c r="C30" s="96" t="b">
        <v>1</v>
      </c>
      <c r="D30" s="95" t="s">
        <v>260</v>
      </c>
      <c r="E30" s="98" t="s">
        <v>260</v>
      </c>
      <c r="F30" s="35"/>
      <c r="G30" s="100" t="b">
        <v>1</v>
      </c>
      <c r="H30" s="97" t="s">
        <v>289</v>
      </c>
      <c r="I30" s="97" t="s">
        <v>304</v>
      </c>
      <c r="J30" s="100" t="b">
        <v>0</v>
      </c>
      <c r="K30" s="98"/>
      <c r="L30" s="97">
        <f>IF(Commodities[[#This Row],[Material Type]]="","",INDEX(MaterialTypes[ID],MATCH(Commodities[[#This Row],[Material Type]],MaterialTypes[Code],0)))</f>
        <v>8</v>
      </c>
      <c r="M30" s="97">
        <f>IF(Commodities[[#This Row],[Product Type]]="","",INDEX(ProductTypes[ID],MATCH(Commodities[[#This Row],[Product Type]],ProductTypes[Code],0)))</f>
        <v>15</v>
      </c>
      <c r="N30" s="99">
        <v>902</v>
      </c>
    </row>
    <row r="31" spans="2:14">
      <c r="B31" s="95">
        <f>IF(Commodities[[#This Row],[Active]]=TRUE,1,0)</f>
        <v>1</v>
      </c>
      <c r="C31" s="96" t="b">
        <v>1</v>
      </c>
      <c r="D31" s="95" t="s">
        <v>261</v>
      </c>
      <c r="E31" s="98" t="s">
        <v>261</v>
      </c>
      <c r="F31" s="35"/>
      <c r="G31" s="100" t="b">
        <v>1</v>
      </c>
      <c r="H31" s="97" t="s">
        <v>289</v>
      </c>
      <c r="I31" s="97" t="s">
        <v>304</v>
      </c>
      <c r="J31" s="100" t="b">
        <v>0</v>
      </c>
      <c r="K31" s="98"/>
      <c r="L31" s="97">
        <f>IF(Commodities[[#This Row],[Material Type]]="","",INDEX(MaterialTypes[ID],MATCH(Commodities[[#This Row],[Material Type]],MaterialTypes[Code],0)))</f>
        <v>8</v>
      </c>
      <c r="M31" s="97">
        <f>IF(Commodities[[#This Row],[Product Type]]="","",INDEX(ProductTypes[ID],MATCH(Commodities[[#This Row],[Product Type]],ProductTypes[Code],0)))</f>
        <v>15</v>
      </c>
      <c r="N31" s="99">
        <v>903</v>
      </c>
    </row>
    <row r="32" spans="2:14">
      <c r="B32" s="95">
        <f>IF(Commodities[[#This Row],[Active]]=TRUE,1,0)</f>
        <v>1</v>
      </c>
      <c r="C32" s="96" t="b">
        <v>1</v>
      </c>
      <c r="D32" s="95" t="s">
        <v>262</v>
      </c>
      <c r="E32" s="98" t="s">
        <v>262</v>
      </c>
      <c r="F32" s="35"/>
      <c r="G32" s="100" t="b">
        <v>1</v>
      </c>
      <c r="H32" s="97" t="s">
        <v>277</v>
      </c>
      <c r="I32" s="97" t="s">
        <v>304</v>
      </c>
      <c r="J32" s="100" t="b">
        <v>0</v>
      </c>
      <c r="K32" s="98"/>
      <c r="L32" s="97">
        <f>IF(Commodities[[#This Row],[Material Type]]="","",INDEX(MaterialTypes[ID],MATCH(Commodities[[#This Row],[Material Type]],MaterialTypes[Code],0)))</f>
        <v>2</v>
      </c>
      <c r="M32" s="97">
        <f>IF(Commodities[[#This Row],[Product Type]]="","",INDEX(ProductTypes[ID],MATCH(Commodities[[#This Row],[Product Type]],ProductTypes[Code],0)))</f>
        <v>15</v>
      </c>
      <c r="N32" s="99">
        <v>904</v>
      </c>
    </row>
    <row r="33" spans="2:14">
      <c r="B33" s="95">
        <f>IF(Commodities[[#This Row],[Active]]=TRUE,1,0)</f>
        <v>1</v>
      </c>
      <c r="C33" s="96" t="b">
        <v>1</v>
      </c>
      <c r="D33" s="95" t="s">
        <v>263</v>
      </c>
      <c r="E33" s="98" t="s">
        <v>264</v>
      </c>
      <c r="F33" s="35"/>
      <c r="G33" s="100" t="b">
        <v>1</v>
      </c>
      <c r="H33" s="97" t="s">
        <v>277</v>
      </c>
      <c r="I33" s="97" t="s">
        <v>304</v>
      </c>
      <c r="J33" s="100" t="b">
        <v>0</v>
      </c>
      <c r="K33" s="98"/>
      <c r="L33" s="97">
        <f>IF(Commodities[[#This Row],[Material Type]]="","",INDEX(MaterialTypes[ID],MATCH(Commodities[[#This Row],[Material Type]],MaterialTypes[Code],0)))</f>
        <v>2</v>
      </c>
      <c r="M33" s="97">
        <f>IF(Commodities[[#This Row],[Product Type]]="","",INDEX(ProductTypes[ID],MATCH(Commodities[[#This Row],[Product Type]],ProductTypes[Code],0)))</f>
        <v>15</v>
      </c>
      <c r="N33" s="99">
        <v>905</v>
      </c>
    </row>
    <row r="34" spans="2:14">
      <c r="B34" s="95">
        <f>IF(Commodities[[#This Row],[Active]]=TRUE,1,0)</f>
        <v>1</v>
      </c>
      <c r="C34" s="96" t="b">
        <v>1</v>
      </c>
      <c r="D34" s="95" t="s">
        <v>265</v>
      </c>
      <c r="E34" s="98" t="s">
        <v>266</v>
      </c>
      <c r="F34" s="35"/>
      <c r="G34" s="100" t="b">
        <v>1</v>
      </c>
      <c r="H34" s="97" t="s">
        <v>277</v>
      </c>
      <c r="I34" s="97" t="s">
        <v>304</v>
      </c>
      <c r="J34" s="100" t="b">
        <v>0</v>
      </c>
      <c r="K34" s="98"/>
      <c r="L34" s="97">
        <f>IF(Commodities[[#This Row],[Material Type]]="","",INDEX(MaterialTypes[ID],MATCH(Commodities[[#This Row],[Material Type]],MaterialTypes[Code],0)))</f>
        <v>2</v>
      </c>
      <c r="M34" s="97">
        <f>IF(Commodities[[#This Row],[Product Type]]="","",INDEX(ProductTypes[ID],MATCH(Commodities[[#This Row],[Product Type]],ProductTypes[Code],0)))</f>
        <v>15</v>
      </c>
      <c r="N34" s="99">
        <v>906</v>
      </c>
    </row>
    <row r="35" spans="2:14">
      <c r="B35" s="95">
        <f>IF(Commodities[[#This Row],[Active]]=TRUE,1,0)</f>
        <v>1</v>
      </c>
      <c r="C35" s="96" t="b">
        <v>1</v>
      </c>
      <c r="D35" s="95" t="s">
        <v>267</v>
      </c>
      <c r="E35" s="98" t="s">
        <v>268</v>
      </c>
      <c r="F35" s="35"/>
      <c r="G35" s="100" t="b">
        <v>1</v>
      </c>
      <c r="H35" s="97" t="s">
        <v>277</v>
      </c>
      <c r="I35" s="97" t="s">
        <v>304</v>
      </c>
      <c r="J35" s="100" t="b">
        <v>0</v>
      </c>
      <c r="K35" s="98"/>
      <c r="L35" s="97">
        <f>IF(Commodities[[#This Row],[Material Type]]="","",INDEX(MaterialTypes[ID],MATCH(Commodities[[#This Row],[Material Type]],MaterialTypes[Code],0)))</f>
        <v>2</v>
      </c>
      <c r="M35" s="97">
        <f>IF(Commodities[[#This Row],[Product Type]]="","",INDEX(ProductTypes[ID],MATCH(Commodities[[#This Row],[Product Type]],ProductTypes[Code],0)))</f>
        <v>15</v>
      </c>
      <c r="N35" s="99">
        <v>907</v>
      </c>
    </row>
    <row r="36" spans="2:14">
      <c r="B36" s="95">
        <f>IF(Commodities[[#This Row],[Active]]=TRUE,1,0)</f>
        <v>1</v>
      </c>
      <c r="C36" s="96" t="b">
        <v>1</v>
      </c>
      <c r="D36" s="95" t="s">
        <v>269</v>
      </c>
      <c r="E36" s="98" t="s">
        <v>269</v>
      </c>
      <c r="F36" s="35"/>
      <c r="G36" s="100" t="b">
        <v>1</v>
      </c>
      <c r="H36" s="97" t="s">
        <v>277</v>
      </c>
      <c r="I36" s="97" t="s">
        <v>304</v>
      </c>
      <c r="J36" s="100" t="b">
        <v>0</v>
      </c>
      <c r="K36" s="98"/>
      <c r="L36" s="97">
        <f>IF(Commodities[[#This Row],[Material Type]]="","",INDEX(MaterialTypes[ID],MATCH(Commodities[[#This Row],[Material Type]],MaterialTypes[Code],0)))</f>
        <v>2</v>
      </c>
      <c r="M36" s="97">
        <f>IF(Commodities[[#This Row],[Product Type]]="","",INDEX(ProductTypes[ID],MATCH(Commodities[[#This Row],[Product Type]],ProductTypes[Code],0)))</f>
        <v>15</v>
      </c>
      <c r="N36" s="99">
        <v>908</v>
      </c>
    </row>
    <row r="37" spans="2:14">
      <c r="B37" s="95">
        <f>IF(Commodities[[#This Row],[Active]]=TRUE,1,0)</f>
        <v>1</v>
      </c>
      <c r="C37" s="96" t="b">
        <v>1</v>
      </c>
      <c r="D37" s="95" t="s">
        <v>274</v>
      </c>
      <c r="E37" s="98" t="s">
        <v>275</v>
      </c>
      <c r="F37" s="35"/>
      <c r="G37" s="100" t="b">
        <v>1</v>
      </c>
      <c r="H37" s="97" t="s">
        <v>277</v>
      </c>
      <c r="I37" s="97" t="s">
        <v>304</v>
      </c>
      <c r="J37" s="100" t="b">
        <v>1</v>
      </c>
      <c r="K37" s="98"/>
      <c r="L37" s="97">
        <f>IF(Commodities[[#This Row],[Material Type]]="","",INDEX(MaterialTypes[ID],MATCH(Commodities[[#This Row],[Material Type]],MaterialTypes[Code],0)))</f>
        <v>2</v>
      </c>
      <c r="M37" s="97">
        <f>IF(Commodities[[#This Row],[Product Type]]="","",INDEX(ProductTypes[ID],MATCH(Commodities[[#This Row],[Product Type]],ProductTypes[Code],0)))</f>
        <v>15</v>
      </c>
      <c r="N37" s="99">
        <v>914</v>
      </c>
    </row>
    <row r="38" spans="2:14">
      <c r="B38" s="95">
        <f>IF(Commodities[[#This Row],[Active]]=TRUE,1,0)</f>
        <v>1</v>
      </c>
      <c r="C38" s="96" t="b">
        <v>1</v>
      </c>
      <c r="D38" s="95" t="s">
        <v>270</v>
      </c>
      <c r="E38" s="98" t="s">
        <v>270</v>
      </c>
      <c r="F38" s="35"/>
      <c r="G38" s="100" t="b">
        <v>1</v>
      </c>
      <c r="H38" s="97" t="s">
        <v>277</v>
      </c>
      <c r="I38" s="97" t="s">
        <v>304</v>
      </c>
      <c r="J38" s="100" t="b">
        <v>0</v>
      </c>
      <c r="K38" s="98"/>
      <c r="L38" s="97">
        <f>IF(Commodities[[#This Row],[Material Type]]="","",INDEX(MaterialTypes[ID],MATCH(Commodities[[#This Row],[Material Type]],MaterialTypes[Code],0)))</f>
        <v>2</v>
      </c>
      <c r="M38" s="97">
        <f>IF(Commodities[[#This Row],[Product Type]]="","",INDEX(ProductTypes[ID],MATCH(Commodities[[#This Row],[Product Type]],ProductTypes[Code],0)))</f>
        <v>15</v>
      </c>
      <c r="N38" s="99">
        <v>909</v>
      </c>
    </row>
    <row r="39" spans="2:14">
      <c r="B39" s="95">
        <f>IF(Commodities[[#This Row],[Active]]=TRUE,1,0)</f>
        <v>1</v>
      </c>
      <c r="C39" s="96" t="b">
        <v>1</v>
      </c>
      <c r="D39" s="95" t="s">
        <v>357</v>
      </c>
      <c r="E39" s="98" t="s">
        <v>357</v>
      </c>
      <c r="F39" s="35"/>
      <c r="G39" s="100" t="b">
        <v>1</v>
      </c>
      <c r="H39" s="97" t="s">
        <v>122</v>
      </c>
      <c r="I39" s="97" t="s">
        <v>304</v>
      </c>
      <c r="J39" s="100" t="b">
        <v>1</v>
      </c>
      <c r="K39" s="98"/>
      <c r="L39" s="97">
        <f>IF(Commodities[[#This Row],[Material Type]]="","",INDEX(MaterialTypes[ID],MATCH(Commodities[[#This Row],[Material Type]],MaterialTypes[Code],0)))</f>
        <v>9</v>
      </c>
      <c r="M39" s="97">
        <f>IF(Commodities[[#This Row],[Product Type]]="","",INDEX(ProductTypes[ID],MATCH(Commodities[[#This Row],[Product Type]],ProductTypes[Code],0)))</f>
        <v>15</v>
      </c>
      <c r="N39" s="99">
        <v>916</v>
      </c>
    </row>
    <row r="40" spans="2:14">
      <c r="B40" s="95">
        <f>IF(Commodities[[#This Row],[Active]]=TRUE,1,0)</f>
        <v>1</v>
      </c>
      <c r="C40" s="96" t="b">
        <v>1</v>
      </c>
      <c r="D40" s="95" t="s">
        <v>123</v>
      </c>
      <c r="E40" s="98" t="s">
        <v>276</v>
      </c>
      <c r="F40" s="35"/>
      <c r="G40" s="100" t="b">
        <v>1</v>
      </c>
      <c r="H40" s="97" t="s">
        <v>122</v>
      </c>
      <c r="I40" s="97" t="s">
        <v>304</v>
      </c>
      <c r="J40" s="100" t="b">
        <v>1</v>
      </c>
      <c r="K40" s="98"/>
      <c r="L40" s="97">
        <f>IF(Commodities[[#This Row],[Material Type]]="","",INDEX(MaterialTypes[ID],MATCH(Commodities[[#This Row],[Material Type]],MaterialTypes[Code],0)))</f>
        <v>9</v>
      </c>
      <c r="M40" s="97">
        <f>IF(Commodities[[#This Row],[Product Type]]="","",INDEX(ProductTypes[ID],MATCH(Commodities[[#This Row],[Product Type]],ProductTypes[Code],0)))</f>
        <v>15</v>
      </c>
      <c r="N40" s="99">
        <v>915</v>
      </c>
    </row>
  </sheetData>
  <dataConsolidate/>
  <mergeCells count="1">
    <mergeCell ref="B2:E2"/>
  </mergeCells>
  <conditionalFormatting sqref="B5:N40">
    <cfRule type="expression" dxfId="298" priority="5">
      <formula>$C5 = FALSE</formula>
    </cfRule>
  </conditionalFormatting>
  <conditionalFormatting sqref="C5:C40">
    <cfRule type="containsText" dxfId="297" priority="6" operator="containsText" text="TRUE">
      <formula>NOT(ISERROR(SEARCH("TRUE",C5)))</formula>
    </cfRule>
    <cfRule type="containsText" dxfId="296" priority="7" operator="containsText" text="FALSE">
      <formula>NOT(ISERROR(SEARCH("FALSE",C5)))</formula>
    </cfRule>
  </conditionalFormatting>
  <conditionalFormatting sqref="G5:G40">
    <cfRule type="containsText" dxfId="295" priority="3" operator="containsText" text="TRUE">
      <formula>NOT(ISERROR(SEARCH("TRUE",G5)))</formula>
    </cfRule>
    <cfRule type="containsText" dxfId="294" priority="4" operator="containsText" text="FALSE">
      <formula>NOT(ISERROR(SEARCH("FALSE",G5)))</formula>
    </cfRule>
  </conditionalFormatting>
  <conditionalFormatting sqref="J5:J40">
    <cfRule type="containsText" dxfId="293" priority="1" operator="containsText" text="TRUE">
      <formula>NOT(ISERROR(SEARCH("TRUE",J5)))</formula>
    </cfRule>
    <cfRule type="containsText" dxfId="292" priority="2" operator="containsText" text="FALSE">
      <formula>NOT(ISERROR(SEARCH("FALSE",J5)))</formula>
    </cfRule>
  </conditionalFormatting>
  <dataValidations count="3">
    <dataValidation type="list" allowBlank="1" showInputMessage="1" showErrorMessage="1" sqref="C5:C40 J5:J40 G5:G40" xr:uid="{00000000-0002-0000-0200-000000000000}">
      <formula1>"TRUE, FALSE"</formula1>
    </dataValidation>
    <dataValidation type="list" allowBlank="1" showInputMessage="1" showErrorMessage="1" sqref="H5:H40" xr:uid="{00000000-0002-0000-0200-000001000000}">
      <formula1>INDIRECT("MaterialTypes[Code]")</formula1>
    </dataValidation>
    <dataValidation type="list" allowBlank="1" showInputMessage="1" showErrorMessage="1" sqref="I5:I40" xr:uid="{00000000-0002-0000-0200-000002000000}">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189"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FF00"/>
    <pageSetUpPr fitToPage="1"/>
  </sheetPr>
  <dimension ref="A1:L40"/>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J21" sqref="J21"/>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106" t="s">
        <v>33</v>
      </c>
      <c r="C2" s="106"/>
      <c r="D2" s="106"/>
      <c r="E2" s="106"/>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50</v>
      </c>
      <c r="E5" s="30" t="s">
        <v>50</v>
      </c>
      <c r="F5" s="30"/>
      <c r="G5" s="32">
        <v>21</v>
      </c>
    </row>
    <row r="6" spans="1:12">
      <c r="B6" s="95">
        <f>IF(Shippers[[#This Row],[Active]]=TRUE,1,0)</f>
        <v>1</v>
      </c>
      <c r="C6" s="96" t="b">
        <v>1</v>
      </c>
      <c r="D6" s="95" t="s">
        <v>58</v>
      </c>
      <c r="E6" s="98" t="s">
        <v>58</v>
      </c>
      <c r="F6" s="98"/>
      <c r="G6" s="99">
        <v>33</v>
      </c>
    </row>
    <row r="7" spans="1:12">
      <c r="B7" s="95">
        <f>IF(Shippers[[#This Row],[Active]]=TRUE,1,0)</f>
        <v>1</v>
      </c>
      <c r="C7" s="96" t="b">
        <v>1</v>
      </c>
      <c r="D7" s="95" t="s">
        <v>59</v>
      </c>
      <c r="E7" s="98" t="s">
        <v>59</v>
      </c>
      <c r="F7" s="98"/>
      <c r="G7" s="99">
        <v>34</v>
      </c>
    </row>
    <row r="8" spans="1:12">
      <c r="B8" s="95">
        <f>IF(Shippers[[#This Row],[Active]]=TRUE,1,0)</f>
        <v>1</v>
      </c>
      <c r="C8" s="96" t="b">
        <v>1</v>
      </c>
      <c r="D8" s="95" t="s">
        <v>60</v>
      </c>
      <c r="E8" s="98" t="s">
        <v>60</v>
      </c>
      <c r="F8" s="98"/>
      <c r="G8" s="99">
        <v>35</v>
      </c>
    </row>
    <row r="9" spans="1:12">
      <c r="B9" s="95">
        <f>IF(Shippers[[#This Row],[Active]]=TRUE,1,0)</f>
        <v>1</v>
      </c>
      <c r="C9" s="96" t="b">
        <v>1</v>
      </c>
      <c r="D9" s="95" t="s">
        <v>61</v>
      </c>
      <c r="E9" s="98" t="s">
        <v>61</v>
      </c>
      <c r="F9" s="98"/>
      <c r="G9" s="99">
        <v>36</v>
      </c>
    </row>
    <row r="10" spans="1:12">
      <c r="B10" s="95">
        <f>IF(Shippers[[#This Row],[Active]]=TRUE,1,0)</f>
        <v>1</v>
      </c>
      <c r="C10" s="96" t="b">
        <v>1</v>
      </c>
      <c r="D10" s="95" t="s">
        <v>40</v>
      </c>
      <c r="E10" s="98" t="s">
        <v>40</v>
      </c>
      <c r="F10" s="98"/>
      <c r="G10" s="99">
        <v>10</v>
      </c>
    </row>
    <row r="11" spans="1:12">
      <c r="B11" s="95">
        <f>IF(Shippers[[#This Row],[Active]]=TRUE,1,0)</f>
        <v>1</v>
      </c>
      <c r="C11" s="96" t="b">
        <v>1</v>
      </c>
      <c r="D11" s="95" t="s">
        <v>34</v>
      </c>
      <c r="E11" s="98" t="s">
        <v>35</v>
      </c>
      <c r="F11" s="98"/>
      <c r="G11" s="99">
        <v>1</v>
      </c>
    </row>
    <row r="12" spans="1:12">
      <c r="B12" s="95">
        <f>IF(Shippers[[#This Row],[Active]]=TRUE,1,0)</f>
        <v>1</v>
      </c>
      <c r="C12" s="96" t="b">
        <v>1</v>
      </c>
      <c r="D12" s="95" t="s">
        <v>53</v>
      </c>
      <c r="E12" s="98" t="s">
        <v>381</v>
      </c>
      <c r="F12" s="98"/>
      <c r="G12" s="99">
        <v>25</v>
      </c>
    </row>
    <row r="13" spans="1:12">
      <c r="B13" s="95">
        <f>IF(Shippers[[#This Row],[Active]]=TRUE,1,0)</f>
        <v>1</v>
      </c>
      <c r="C13" s="96" t="b">
        <v>1</v>
      </c>
      <c r="D13" s="95" t="s">
        <v>56</v>
      </c>
      <c r="E13" s="98" t="s">
        <v>56</v>
      </c>
      <c r="F13" s="98"/>
      <c r="G13" s="99">
        <v>28</v>
      </c>
    </row>
    <row r="14" spans="1:12">
      <c r="B14" s="95">
        <f>IF(Shippers[[#This Row],[Active]]=TRUE,1,0)</f>
        <v>1</v>
      </c>
      <c r="C14" s="96" t="b">
        <v>1</v>
      </c>
      <c r="D14" s="95" t="s">
        <v>48</v>
      </c>
      <c r="E14" s="98" t="s">
        <v>48</v>
      </c>
      <c r="F14" s="98"/>
      <c r="G14" s="99">
        <v>19</v>
      </c>
    </row>
    <row r="15" spans="1:12">
      <c r="B15" s="95">
        <f>IF(Shippers[[#This Row],[Active]]=TRUE,1,0)</f>
        <v>1</v>
      </c>
      <c r="C15" s="96" t="b">
        <v>1</v>
      </c>
      <c r="D15" s="95" t="s">
        <v>46</v>
      </c>
      <c r="E15" s="98" t="s">
        <v>46</v>
      </c>
      <c r="F15" s="98"/>
      <c r="G15" s="99">
        <v>17</v>
      </c>
    </row>
    <row r="16" spans="1:12">
      <c r="B16" s="95">
        <f>IF(Shippers[[#This Row],[Active]]=TRUE,1,0)</f>
        <v>1</v>
      </c>
      <c r="C16" s="96" t="b">
        <v>1</v>
      </c>
      <c r="D16" s="95" t="s">
        <v>62</v>
      </c>
      <c r="E16" s="98" t="s">
        <v>62</v>
      </c>
      <c r="F16" s="98"/>
      <c r="G16" s="99">
        <v>37</v>
      </c>
    </row>
    <row r="17" spans="2:7">
      <c r="B17" s="95">
        <f>IF(Shippers[[#This Row],[Active]]=TRUE,1,0)</f>
        <v>1</v>
      </c>
      <c r="C17" s="96" t="b">
        <v>1</v>
      </c>
      <c r="D17" s="95" t="s">
        <v>47</v>
      </c>
      <c r="E17" s="98" t="s">
        <v>47</v>
      </c>
      <c r="F17" s="98"/>
      <c r="G17" s="99">
        <v>18</v>
      </c>
    </row>
    <row r="18" spans="2:7">
      <c r="B18" s="95">
        <f>IF(Shippers[[#This Row],[Active]]=TRUE,1,0)</f>
        <v>1</v>
      </c>
      <c r="C18" s="96" t="b">
        <v>1</v>
      </c>
      <c r="D18" s="95" t="s">
        <v>63</v>
      </c>
      <c r="E18" s="98" t="s">
        <v>63</v>
      </c>
      <c r="F18" s="98"/>
      <c r="G18" s="99">
        <v>38</v>
      </c>
    </row>
    <row r="19" spans="2:7">
      <c r="B19" s="95">
        <f>IF(Shippers[[#This Row],[Active]]=TRUE,1,0)</f>
        <v>1</v>
      </c>
      <c r="C19" s="96" t="b">
        <v>1</v>
      </c>
      <c r="D19" s="95" t="s">
        <v>64</v>
      </c>
      <c r="E19" s="98" t="s">
        <v>64</v>
      </c>
      <c r="F19" s="98"/>
      <c r="G19" s="99">
        <v>39</v>
      </c>
    </row>
    <row r="20" spans="2:7">
      <c r="B20" s="95">
        <f>IF(Shippers[[#This Row],[Active]]=TRUE,1,0)</f>
        <v>1</v>
      </c>
      <c r="C20" s="96" t="b">
        <v>1</v>
      </c>
      <c r="D20" s="95" t="s">
        <v>49</v>
      </c>
      <c r="E20" s="98" t="s">
        <v>49</v>
      </c>
      <c r="F20" s="98"/>
      <c r="G20" s="99">
        <v>20</v>
      </c>
    </row>
    <row r="21" spans="2:7">
      <c r="B21" s="95">
        <f>IF(Shippers[[#This Row],[Active]]=TRUE,1,0)</f>
        <v>1</v>
      </c>
      <c r="C21" s="96" t="b">
        <v>1</v>
      </c>
      <c r="D21" s="95" t="s">
        <v>65</v>
      </c>
      <c r="E21" s="98" t="s">
        <v>65</v>
      </c>
      <c r="F21" s="98"/>
      <c r="G21" s="99">
        <v>40</v>
      </c>
    </row>
    <row r="22" spans="2:7">
      <c r="B22" s="95">
        <f>IF(Shippers[[#This Row],[Active]]=TRUE,1,0)</f>
        <v>1</v>
      </c>
      <c r="C22" s="96" t="b">
        <v>1</v>
      </c>
      <c r="D22" s="95" t="s">
        <v>41</v>
      </c>
      <c r="E22" s="98" t="s">
        <v>41</v>
      </c>
      <c r="F22" s="98"/>
      <c r="G22" s="99">
        <v>11</v>
      </c>
    </row>
    <row r="23" spans="2:7">
      <c r="B23" s="95">
        <f>IF(Shippers[[#This Row],[Active]]=TRUE,1,0)</f>
        <v>1</v>
      </c>
      <c r="C23" s="96" t="b">
        <v>1</v>
      </c>
      <c r="D23" s="95" t="s">
        <v>55</v>
      </c>
      <c r="E23" s="98" t="s">
        <v>55</v>
      </c>
      <c r="F23" s="98"/>
      <c r="G23" s="99">
        <v>27</v>
      </c>
    </row>
    <row r="24" spans="2:7">
      <c r="B24" s="95">
        <f>IF(Shippers[[#This Row],[Active]]=TRUE,1,0)</f>
        <v>1</v>
      </c>
      <c r="C24" s="96" t="b">
        <v>1</v>
      </c>
      <c r="D24" s="95" t="s">
        <v>45</v>
      </c>
      <c r="E24" s="98" t="s">
        <v>45</v>
      </c>
      <c r="F24" s="98"/>
      <c r="G24" s="99">
        <v>16</v>
      </c>
    </row>
    <row r="25" spans="2:7">
      <c r="B25" s="95">
        <f>IF(Shippers[[#This Row],[Active]]=TRUE,1,0)</f>
        <v>1</v>
      </c>
      <c r="C25" s="96" t="b">
        <v>1</v>
      </c>
      <c r="D25" s="95" t="s">
        <v>42</v>
      </c>
      <c r="E25" s="98" t="s">
        <v>42</v>
      </c>
      <c r="F25" s="98"/>
      <c r="G25" s="99">
        <v>13</v>
      </c>
    </row>
    <row r="26" spans="2:7">
      <c r="B26" s="95">
        <f>IF(Shippers[[#This Row],[Active]]=TRUE,1,0)</f>
        <v>1</v>
      </c>
      <c r="C26" s="96" t="b">
        <v>1</v>
      </c>
      <c r="D26" s="95" t="s">
        <v>54</v>
      </c>
      <c r="E26" s="98" t="s">
        <v>382</v>
      </c>
      <c r="F26" s="98"/>
      <c r="G26" s="99">
        <v>26</v>
      </c>
    </row>
    <row r="27" spans="2:7">
      <c r="B27" s="95">
        <f>IF(Shippers[[#This Row],[Active]]=TRUE,1,0)</f>
        <v>1</v>
      </c>
      <c r="C27" s="96" t="b">
        <v>1</v>
      </c>
      <c r="D27" s="95" t="s">
        <v>66</v>
      </c>
      <c r="E27" s="98" t="s">
        <v>66</v>
      </c>
      <c r="F27" s="98"/>
      <c r="G27" s="99">
        <v>41</v>
      </c>
    </row>
    <row r="28" spans="2:7">
      <c r="B28" s="95">
        <f>IF(Shippers[[#This Row],[Active]]=TRUE,1,0)</f>
        <v>1</v>
      </c>
      <c r="C28" s="96" t="b">
        <v>1</v>
      </c>
      <c r="D28" s="95" t="s">
        <v>52</v>
      </c>
      <c r="E28" s="98" t="s">
        <v>383</v>
      </c>
      <c r="F28" s="98"/>
      <c r="G28" s="99">
        <v>24</v>
      </c>
    </row>
    <row r="29" spans="2:7">
      <c r="B29" s="95">
        <f>IF(Shippers[[#This Row],[Active]]=TRUE,1,0)</f>
        <v>1</v>
      </c>
      <c r="C29" s="96" t="b">
        <v>1</v>
      </c>
      <c r="D29" s="95" t="s">
        <v>39</v>
      </c>
      <c r="E29" s="98" t="s">
        <v>39</v>
      </c>
      <c r="F29" s="98"/>
      <c r="G29" s="99">
        <v>9</v>
      </c>
    </row>
    <row r="30" spans="2:7">
      <c r="B30" s="95">
        <f>IF(Shippers[[#This Row],[Active]]=TRUE,1,0)</f>
        <v>1</v>
      </c>
      <c r="C30" s="96" t="b">
        <v>1</v>
      </c>
      <c r="D30" s="95" t="s">
        <v>43</v>
      </c>
      <c r="E30" s="98" t="s">
        <v>43</v>
      </c>
      <c r="F30" s="98"/>
      <c r="G30" s="99">
        <v>14</v>
      </c>
    </row>
    <row r="31" spans="2:7">
      <c r="B31" s="95">
        <f>IF(Shippers[[#This Row],[Active]]=TRUE,1,0)</f>
        <v>0</v>
      </c>
      <c r="C31" s="96" t="b">
        <v>0</v>
      </c>
      <c r="D31" s="95" t="s">
        <v>44</v>
      </c>
      <c r="E31" s="98" t="s">
        <v>44</v>
      </c>
      <c r="F31" s="98"/>
      <c r="G31" s="99">
        <v>15</v>
      </c>
    </row>
    <row r="32" spans="2:7">
      <c r="B32" s="95">
        <f>IF(Shippers[[#This Row],[Active]]=TRUE,1,0)</f>
        <v>1</v>
      </c>
      <c r="C32" s="96" t="b">
        <v>1</v>
      </c>
      <c r="D32" s="95" t="s">
        <v>67</v>
      </c>
      <c r="E32" s="98" t="s">
        <v>67</v>
      </c>
      <c r="F32" s="98"/>
      <c r="G32" s="99">
        <v>42</v>
      </c>
    </row>
    <row r="33" spans="2:7">
      <c r="B33" s="95">
        <f>IF(Shippers[[#This Row],[Active]]=TRUE,1,0)</f>
        <v>1</v>
      </c>
      <c r="C33" s="96" t="b">
        <v>1</v>
      </c>
      <c r="D33" s="95" t="s">
        <v>36</v>
      </c>
      <c r="E33" s="98" t="s">
        <v>36</v>
      </c>
      <c r="F33" s="98"/>
      <c r="G33" s="99">
        <v>4</v>
      </c>
    </row>
    <row r="34" spans="2:7">
      <c r="B34" s="95">
        <f>IF(Shippers[[#This Row],[Active]]=TRUE,1,0)</f>
        <v>1</v>
      </c>
      <c r="C34" s="96" t="b">
        <v>1</v>
      </c>
      <c r="D34" s="95" t="s">
        <v>68</v>
      </c>
      <c r="E34" s="98" t="s">
        <v>68</v>
      </c>
      <c r="F34" s="98"/>
      <c r="G34" s="99">
        <v>43</v>
      </c>
    </row>
    <row r="35" spans="2:7">
      <c r="B35" s="95">
        <f>IF(Shippers[[#This Row],[Active]]=TRUE,1,0)</f>
        <v>1</v>
      </c>
      <c r="C35" s="96" t="b">
        <v>1</v>
      </c>
      <c r="D35" s="95" t="s">
        <v>38</v>
      </c>
      <c r="E35" s="98" t="s">
        <v>38</v>
      </c>
      <c r="F35" s="98"/>
      <c r="G35" s="99">
        <v>8</v>
      </c>
    </row>
    <row r="36" spans="2:7">
      <c r="B36" s="95">
        <f>IF(Shippers[[#This Row],[Active]]=TRUE,1,0)</f>
        <v>1</v>
      </c>
      <c r="C36" s="96" t="b">
        <v>1</v>
      </c>
      <c r="D36" s="95" t="s">
        <v>51</v>
      </c>
      <c r="E36" s="98" t="s">
        <v>384</v>
      </c>
      <c r="F36" s="98"/>
      <c r="G36" s="99">
        <v>23</v>
      </c>
    </row>
    <row r="37" spans="2:7">
      <c r="B37" s="95">
        <f>IF(Shippers[[#This Row],[Active]]=TRUE,1,0)</f>
        <v>1</v>
      </c>
      <c r="C37" s="96" t="b">
        <v>1</v>
      </c>
      <c r="D37" s="95" t="s">
        <v>385</v>
      </c>
      <c r="E37" s="98" t="s">
        <v>385</v>
      </c>
      <c r="F37" s="98"/>
      <c r="G37" s="99">
        <v>22</v>
      </c>
    </row>
    <row r="38" spans="2:7">
      <c r="B38" s="95">
        <f>IF(Shippers[[#This Row],[Active]]=TRUE,1,0)</f>
        <v>1</v>
      </c>
      <c r="C38" s="96" t="b">
        <v>1</v>
      </c>
      <c r="D38" s="95" t="s">
        <v>386</v>
      </c>
      <c r="E38" s="98" t="s">
        <v>386</v>
      </c>
      <c r="F38" s="98"/>
      <c r="G38" s="99">
        <v>48</v>
      </c>
    </row>
    <row r="39" spans="2:7">
      <c r="B39" s="95">
        <f>IF(Shippers[[#This Row],[Active]]=TRUE,1,0)</f>
        <v>1</v>
      </c>
      <c r="C39" s="96" t="b">
        <v>1</v>
      </c>
      <c r="D39" s="95" t="s">
        <v>69</v>
      </c>
      <c r="E39" s="98" t="s">
        <v>69</v>
      </c>
      <c r="F39" s="98"/>
      <c r="G39" s="99">
        <v>44</v>
      </c>
    </row>
    <row r="40" spans="2:7">
      <c r="B40" s="95">
        <f>IF(Shippers[[#This Row],[Active]]=TRUE,1,0)</f>
        <v>1</v>
      </c>
      <c r="C40" s="96" t="b">
        <v>1</v>
      </c>
      <c r="D40" s="95" t="s">
        <v>57</v>
      </c>
      <c r="E40" s="98" t="s">
        <v>57</v>
      </c>
      <c r="F40" s="98"/>
      <c r="G40" s="99">
        <v>29</v>
      </c>
    </row>
  </sheetData>
  <dataConsolidate/>
  <mergeCells count="1">
    <mergeCell ref="B2:E2"/>
  </mergeCells>
  <conditionalFormatting sqref="B5:G40">
    <cfRule type="expression" dxfId="274" priority="1">
      <formula>$C5 = FALSE</formula>
    </cfRule>
  </conditionalFormatting>
  <conditionalFormatting sqref="C5:C40">
    <cfRule type="containsText" dxfId="273" priority="2" operator="containsText" text="TRUE">
      <formula>NOT(ISERROR(SEARCH("TRUE",C5)))</formula>
    </cfRule>
    <cfRule type="containsText" dxfId="272" priority="3" operator="containsText" text="FALSE">
      <formula>NOT(ISERROR(SEARCH("FALSE",C5)))</formula>
    </cfRule>
  </conditionalFormatting>
  <dataValidations count="1">
    <dataValidation type="list" allowBlank="1" showInputMessage="1" showErrorMessage="1" sqref="C5:C40" xr:uid="{00000000-0002-0000-0300-000000000000}">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213"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FF00"/>
    <pageSetUpPr fitToPage="1"/>
  </sheetPr>
  <dimension ref="A1:P74"/>
  <sheetViews>
    <sheetView showGridLines="0" topLeftCell="A2" zoomScaleNormal="100" workbookViewId="0">
      <pane xSplit="1" ySplit="3" topLeftCell="B45" activePane="bottomRight" state="frozen"/>
      <selection activeCell="F36" sqref="F36"/>
      <selection pane="topRight" activeCell="F36" sqref="F36"/>
      <selection pane="bottomLeft" activeCell="F36" sqref="F36"/>
      <selection pane="bottomRight" activeCell="E60" sqref="E60"/>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106" t="s">
        <v>70</v>
      </c>
      <c r="C2" s="106"/>
      <c r="D2" s="106"/>
      <c r="E2" s="106"/>
      <c r="F2" s="106"/>
      <c r="G2" s="106"/>
    </row>
    <row r="3" spans="1:16" s="4" customFormat="1" ht="9" customHeight="1" thickTop="1">
      <c r="A3" s="22"/>
      <c r="C3" s="21"/>
    </row>
    <row r="4" spans="1:16" s="13" customFormat="1" ht="15" customHeight="1">
      <c r="A4" s="22"/>
      <c r="B4" s="20" t="s">
        <v>11</v>
      </c>
      <c r="C4" s="19" t="s">
        <v>1</v>
      </c>
      <c r="D4" s="19" t="s">
        <v>0</v>
      </c>
      <c r="E4" s="19" t="s">
        <v>3</v>
      </c>
      <c r="F4" s="19" t="s">
        <v>71</v>
      </c>
      <c r="G4" s="19" t="s">
        <v>72</v>
      </c>
      <c r="H4" s="19" t="s">
        <v>73</v>
      </c>
      <c r="I4" s="19" t="s">
        <v>74</v>
      </c>
      <c r="J4" s="19" t="s">
        <v>75</v>
      </c>
      <c r="K4" s="19" t="s">
        <v>4</v>
      </c>
      <c r="L4" s="19" t="s">
        <v>109</v>
      </c>
      <c r="M4" s="19" t="s">
        <v>17</v>
      </c>
    </row>
    <row r="5" spans="1:16">
      <c r="A5" s="23"/>
      <c r="B5" s="36">
        <f>IF(Sites[[#This Row],[Active]]=TRUE,1,0)</f>
        <v>1</v>
      </c>
      <c r="C5" s="37" t="b">
        <v>1</v>
      </c>
      <c r="D5" s="36" t="s">
        <v>50</v>
      </c>
      <c r="E5" s="38" t="s">
        <v>50</v>
      </c>
      <c r="F5" s="38" t="s">
        <v>50</v>
      </c>
      <c r="G5" s="15">
        <v>0</v>
      </c>
      <c r="H5" s="15">
        <v>0</v>
      </c>
      <c r="I5" s="15">
        <v>0</v>
      </c>
      <c r="J5" s="41"/>
      <c r="K5" s="41"/>
      <c r="L5" s="41">
        <f>IF(Sites[[#This Row],[Shipper]]="","",INDEX(Shippers[ID],MATCH(Sites[[#This Row],[Shipper]],Shippers[Code],0)))</f>
        <v>21</v>
      </c>
      <c r="M5" s="39">
        <v>943</v>
      </c>
    </row>
    <row r="6" spans="1:16">
      <c r="B6" s="95">
        <f>IF(Sites[[#This Row],[Active]]=TRUE,1,0)</f>
        <v>1</v>
      </c>
      <c r="C6" s="96" t="b">
        <v>1</v>
      </c>
      <c r="D6" s="95" t="s">
        <v>58</v>
      </c>
      <c r="E6" s="98" t="s">
        <v>58</v>
      </c>
      <c r="F6" s="98" t="s">
        <v>58</v>
      </c>
      <c r="G6" s="15">
        <v>0</v>
      </c>
      <c r="H6" s="15">
        <v>0</v>
      </c>
      <c r="I6" s="15">
        <v>0</v>
      </c>
      <c r="J6" s="41"/>
      <c r="K6" s="41"/>
      <c r="L6" s="41">
        <f>IF(Sites[[#This Row],[Shipper]]="","",INDEX(Shippers[ID],MATCH(Sites[[#This Row],[Shipper]],Shippers[Code],0)))</f>
        <v>33</v>
      </c>
      <c r="M6" s="99">
        <v>1014</v>
      </c>
    </row>
    <row r="7" spans="1:16">
      <c r="B7" s="95">
        <f>IF(Sites[[#This Row],[Active]]=TRUE,1,0)</f>
        <v>1</v>
      </c>
      <c r="C7" s="96" t="b">
        <v>1</v>
      </c>
      <c r="D7" s="95" t="s">
        <v>59</v>
      </c>
      <c r="E7" s="98" t="s">
        <v>59</v>
      </c>
      <c r="F7" s="98" t="s">
        <v>59</v>
      </c>
      <c r="G7" s="15">
        <v>0</v>
      </c>
      <c r="H7" s="15">
        <v>0</v>
      </c>
      <c r="I7" s="15">
        <v>0</v>
      </c>
      <c r="J7" s="41"/>
      <c r="K7" s="41"/>
      <c r="L7" s="41">
        <f>IF(Sites[[#This Row],[Shipper]]="","",INDEX(Shippers[ID],MATCH(Sites[[#This Row],[Shipper]],Shippers[Code],0)))</f>
        <v>34</v>
      </c>
      <c r="M7" s="99">
        <v>1015</v>
      </c>
    </row>
    <row r="8" spans="1:16">
      <c r="B8" s="95">
        <f>IF(Sites[[#This Row],[Active]]=TRUE,1,0)</f>
        <v>1</v>
      </c>
      <c r="C8" s="96" t="b">
        <v>1</v>
      </c>
      <c r="D8" s="95" t="s">
        <v>60</v>
      </c>
      <c r="E8" s="98" t="s">
        <v>60</v>
      </c>
      <c r="F8" s="98" t="s">
        <v>60</v>
      </c>
      <c r="G8" s="15">
        <v>0</v>
      </c>
      <c r="H8" s="15">
        <v>0</v>
      </c>
      <c r="I8" s="15">
        <v>0</v>
      </c>
      <c r="J8" s="41"/>
      <c r="K8" s="41"/>
      <c r="L8" s="41">
        <f>IF(Sites[[#This Row],[Shipper]]="","",INDEX(Shippers[ID],MATCH(Sites[[#This Row],[Shipper]],Shippers[Code],0)))</f>
        <v>35</v>
      </c>
      <c r="M8" s="99">
        <v>1016</v>
      </c>
    </row>
    <row r="9" spans="1:16">
      <c r="B9" s="95">
        <f>IF(Sites[[#This Row],[Active]]=TRUE,1,0)</f>
        <v>1</v>
      </c>
      <c r="C9" s="96" t="b">
        <v>1</v>
      </c>
      <c r="D9" s="95" t="s">
        <v>61</v>
      </c>
      <c r="E9" s="98" t="s">
        <v>61</v>
      </c>
      <c r="F9" s="98" t="s">
        <v>61</v>
      </c>
      <c r="G9" s="15">
        <v>0</v>
      </c>
      <c r="H9" s="15">
        <v>0</v>
      </c>
      <c r="I9" s="15">
        <v>0</v>
      </c>
      <c r="J9" s="41"/>
      <c r="K9" s="41"/>
      <c r="L9" s="41">
        <f>IF(Sites[[#This Row],[Shipper]]="","",INDEX(Shippers[ID],MATCH(Sites[[#This Row],[Shipper]],Shippers[Code],0)))</f>
        <v>36</v>
      </c>
      <c r="M9" s="99">
        <v>1017</v>
      </c>
    </row>
    <row r="10" spans="1:16">
      <c r="B10" s="95">
        <f>IF(Sites[[#This Row],[Active]]=TRUE,1,0)</f>
        <v>1</v>
      </c>
      <c r="C10" s="96" t="b">
        <v>1</v>
      </c>
      <c r="D10" s="95" t="s">
        <v>387</v>
      </c>
      <c r="E10" s="98" t="s">
        <v>387</v>
      </c>
      <c r="F10" s="98" t="s">
        <v>385</v>
      </c>
      <c r="G10" s="15">
        <v>0</v>
      </c>
      <c r="H10" s="15">
        <v>0</v>
      </c>
      <c r="I10" s="15">
        <v>0</v>
      </c>
      <c r="J10" s="41"/>
      <c r="K10" s="41"/>
      <c r="L10" s="41">
        <f>IF(Sites[[#This Row],[Shipper]]="","",INDEX(Shippers[ID],MATCH(Sites[[#This Row],[Shipper]],Shippers[Code],0)))</f>
        <v>22</v>
      </c>
      <c r="M10" s="99">
        <v>964</v>
      </c>
    </row>
    <row r="11" spans="1:16">
      <c r="B11" s="95">
        <f>IF(Sites[[#This Row],[Active]]=TRUE,1,0)</f>
        <v>1</v>
      </c>
      <c r="C11" s="96" t="b">
        <v>1</v>
      </c>
      <c r="D11" s="95" t="s">
        <v>388</v>
      </c>
      <c r="E11" s="98" t="s">
        <v>388</v>
      </c>
      <c r="F11" s="98" t="s">
        <v>386</v>
      </c>
      <c r="G11" s="15">
        <v>0</v>
      </c>
      <c r="H11" s="15">
        <v>0</v>
      </c>
      <c r="I11" s="15">
        <v>0</v>
      </c>
      <c r="J11" s="41"/>
      <c r="K11" s="41"/>
      <c r="L11" s="41">
        <f>IF(Sites[[#This Row],[Shipper]]="","",INDEX(Shippers[ID],MATCH(Sites[[#This Row],[Shipper]],Shippers[Code],0)))</f>
        <v>48</v>
      </c>
      <c r="M11" s="99">
        <v>1053</v>
      </c>
    </row>
    <row r="12" spans="1:16">
      <c r="B12" s="95">
        <f>IF(Sites[[#This Row],[Active]]=TRUE,1,0)</f>
        <v>1</v>
      </c>
      <c r="C12" s="96" t="b">
        <v>1</v>
      </c>
      <c r="D12" s="95" t="s">
        <v>389</v>
      </c>
      <c r="E12" s="98" t="s">
        <v>389</v>
      </c>
      <c r="F12" s="98" t="s">
        <v>386</v>
      </c>
      <c r="G12" s="15">
        <v>0</v>
      </c>
      <c r="H12" s="15">
        <v>0</v>
      </c>
      <c r="I12" s="15">
        <v>0</v>
      </c>
      <c r="J12" s="41"/>
      <c r="K12" s="41"/>
      <c r="L12" s="41">
        <f>IF(Sites[[#This Row],[Shipper]]="","",INDEX(Shippers[ID],MATCH(Sites[[#This Row],[Shipper]],Shippers[Code],0)))</f>
        <v>48</v>
      </c>
      <c r="M12" s="99">
        <v>1054</v>
      </c>
    </row>
    <row r="13" spans="1:16">
      <c r="B13" s="95">
        <f>IF(Sites[[#This Row],[Active]]=TRUE,1,0)</f>
        <v>1</v>
      </c>
      <c r="C13" s="96" t="b">
        <v>1</v>
      </c>
      <c r="D13" s="95" t="s">
        <v>40</v>
      </c>
      <c r="E13" s="98" t="s">
        <v>40</v>
      </c>
      <c r="F13" s="98" t="s">
        <v>40</v>
      </c>
      <c r="G13" s="15">
        <v>0</v>
      </c>
      <c r="H13" s="15">
        <v>0</v>
      </c>
      <c r="I13" s="15">
        <v>0</v>
      </c>
      <c r="J13" s="41"/>
      <c r="K13" s="41"/>
      <c r="L13" s="41">
        <f>IF(Sites[[#This Row],[Shipper]]="","",INDEX(Shippers[ID],MATCH(Sites[[#This Row],[Shipper]],Shippers[Code],0)))</f>
        <v>10</v>
      </c>
      <c r="M13" s="99">
        <v>946</v>
      </c>
    </row>
    <row r="14" spans="1:16">
      <c r="B14" s="95">
        <f>IF(Sites[[#This Row],[Active]]=TRUE,1,0)</f>
        <v>1</v>
      </c>
      <c r="C14" s="96" t="b">
        <v>1</v>
      </c>
      <c r="D14" s="95" t="s">
        <v>34</v>
      </c>
      <c r="E14" s="98" t="s">
        <v>34</v>
      </c>
      <c r="F14" s="98" t="s">
        <v>34</v>
      </c>
      <c r="G14" s="15">
        <v>0</v>
      </c>
      <c r="H14" s="15">
        <v>0</v>
      </c>
      <c r="I14" s="15">
        <v>0</v>
      </c>
      <c r="J14" s="41"/>
      <c r="K14" s="41"/>
      <c r="L14" s="41">
        <f>IF(Sites[[#This Row],[Shipper]]="","",INDEX(Shippers[ID],MATCH(Sites[[#This Row],[Shipper]],Shippers[Code],0)))</f>
        <v>1</v>
      </c>
      <c r="M14" s="99">
        <v>924</v>
      </c>
    </row>
    <row r="15" spans="1:16">
      <c r="B15" s="95">
        <f>IF(Sites[[#This Row],[Active]]=TRUE,1,0)</f>
        <v>1</v>
      </c>
      <c r="C15" s="96" t="b">
        <v>1</v>
      </c>
      <c r="D15" s="95" t="s">
        <v>53</v>
      </c>
      <c r="E15" s="98" t="s">
        <v>381</v>
      </c>
      <c r="F15" s="98" t="s">
        <v>53</v>
      </c>
      <c r="G15" s="15">
        <v>0</v>
      </c>
      <c r="H15" s="15">
        <v>0</v>
      </c>
      <c r="I15" s="15">
        <v>0</v>
      </c>
      <c r="J15" s="41"/>
      <c r="K15" s="41"/>
      <c r="L15" s="41">
        <f>IF(Sites[[#This Row],[Shipper]]="","",INDEX(Shippers[ID],MATCH(Sites[[#This Row],[Shipper]],Shippers[Code],0)))</f>
        <v>25</v>
      </c>
      <c r="M15" s="99">
        <v>987</v>
      </c>
    </row>
    <row r="16" spans="1:16">
      <c r="B16" s="95">
        <f>IF(Sites[[#This Row],[Active]]=TRUE,1,0)</f>
        <v>1</v>
      </c>
      <c r="C16" s="96" t="b">
        <v>1</v>
      </c>
      <c r="D16" s="95" t="s">
        <v>315</v>
      </c>
      <c r="E16" s="98" t="s">
        <v>56</v>
      </c>
      <c r="F16" s="98" t="s">
        <v>56</v>
      </c>
      <c r="G16" s="15">
        <v>0</v>
      </c>
      <c r="H16" s="15">
        <v>0</v>
      </c>
      <c r="I16" s="15">
        <v>0</v>
      </c>
      <c r="J16" s="41"/>
      <c r="K16" s="41"/>
      <c r="L16" s="41">
        <f>IF(Sites[[#This Row],[Shipper]]="","",INDEX(Shippers[ID],MATCH(Sites[[#This Row],[Shipper]],Shippers[Code],0)))</f>
        <v>28</v>
      </c>
      <c r="M16" s="99">
        <v>993</v>
      </c>
    </row>
    <row r="17" spans="2:13">
      <c r="B17" s="95">
        <f>IF(Sites[[#This Row],[Active]]=TRUE,1,0)</f>
        <v>1</v>
      </c>
      <c r="C17" s="96" t="b">
        <v>1</v>
      </c>
      <c r="D17" s="95" t="s">
        <v>316</v>
      </c>
      <c r="E17" s="98" t="s">
        <v>56</v>
      </c>
      <c r="F17" s="98" t="s">
        <v>56</v>
      </c>
      <c r="G17" s="15">
        <v>0</v>
      </c>
      <c r="H17" s="15">
        <v>0</v>
      </c>
      <c r="I17" s="15">
        <v>0</v>
      </c>
      <c r="J17" s="41"/>
      <c r="K17" s="41"/>
      <c r="L17" s="41">
        <f>IF(Sites[[#This Row],[Shipper]]="","",INDEX(Shippers[ID],MATCH(Sites[[#This Row],[Shipper]],Shippers[Code],0)))</f>
        <v>28</v>
      </c>
      <c r="M17" s="99">
        <v>1018</v>
      </c>
    </row>
    <row r="18" spans="2:13">
      <c r="B18" s="95">
        <f>IF(Sites[[#This Row],[Active]]=TRUE,1,0)</f>
        <v>1</v>
      </c>
      <c r="C18" s="96" t="b">
        <v>1</v>
      </c>
      <c r="D18" s="95" t="s">
        <v>81</v>
      </c>
      <c r="E18" s="98" t="s">
        <v>81</v>
      </c>
      <c r="F18" s="98" t="s">
        <v>48</v>
      </c>
      <c r="G18" s="15">
        <v>0</v>
      </c>
      <c r="H18" s="15">
        <v>0</v>
      </c>
      <c r="I18" s="15">
        <v>0</v>
      </c>
      <c r="J18" s="41"/>
      <c r="K18" s="41"/>
      <c r="L18" s="41">
        <f>IF(Sites[[#This Row],[Shipper]]="","",INDEX(Shippers[ID],MATCH(Sites[[#This Row],[Shipper]],Shippers[Code],0)))</f>
        <v>19</v>
      </c>
      <c r="M18" s="99">
        <v>960</v>
      </c>
    </row>
    <row r="19" spans="2:13">
      <c r="B19" s="95">
        <f>IF(Sites[[#This Row],[Active]]=TRUE,1,0)</f>
        <v>1</v>
      </c>
      <c r="C19" s="96" t="b">
        <v>1</v>
      </c>
      <c r="D19" s="95" t="s">
        <v>82</v>
      </c>
      <c r="E19" s="98" t="s">
        <v>82</v>
      </c>
      <c r="F19" s="98" t="s">
        <v>48</v>
      </c>
      <c r="G19" s="15">
        <v>0</v>
      </c>
      <c r="H19" s="15">
        <v>0</v>
      </c>
      <c r="I19" s="15">
        <v>0</v>
      </c>
      <c r="J19" s="41"/>
      <c r="K19" s="41"/>
      <c r="L19" s="41">
        <f>IF(Sites[[#This Row],[Shipper]]="","",INDEX(Shippers[ID],MATCH(Sites[[#This Row],[Shipper]],Shippers[Code],0)))</f>
        <v>19</v>
      </c>
      <c r="M19" s="99">
        <v>961</v>
      </c>
    </row>
    <row r="20" spans="2:13">
      <c r="B20" s="95">
        <f>IF(Sites[[#This Row],[Active]]=TRUE,1,0)</f>
        <v>1</v>
      </c>
      <c r="C20" s="96" t="b">
        <v>1</v>
      </c>
      <c r="D20" s="95" t="s">
        <v>84</v>
      </c>
      <c r="E20" s="98" t="s">
        <v>84</v>
      </c>
      <c r="F20" s="98" t="s">
        <v>48</v>
      </c>
      <c r="G20" s="15">
        <v>0</v>
      </c>
      <c r="H20" s="15">
        <v>0</v>
      </c>
      <c r="I20" s="15">
        <v>0</v>
      </c>
      <c r="J20" s="41"/>
      <c r="K20" s="41"/>
      <c r="L20" s="41">
        <f>IF(Sites[[#This Row],[Shipper]]="","",INDEX(Shippers[ID],MATCH(Sites[[#This Row],[Shipper]],Shippers[Code],0)))</f>
        <v>19</v>
      </c>
      <c r="M20" s="99">
        <v>969</v>
      </c>
    </row>
    <row r="21" spans="2:13">
      <c r="B21" s="95">
        <f>IF(Sites[[#This Row],[Active]]=TRUE,1,0)</f>
        <v>1</v>
      </c>
      <c r="C21" s="96" t="b">
        <v>1</v>
      </c>
      <c r="D21" s="95" t="s">
        <v>46</v>
      </c>
      <c r="E21" s="98" t="s">
        <v>46</v>
      </c>
      <c r="F21" s="98" t="s">
        <v>46</v>
      </c>
      <c r="G21" s="15">
        <v>0</v>
      </c>
      <c r="H21" s="15">
        <v>0</v>
      </c>
      <c r="I21" s="15">
        <v>0</v>
      </c>
      <c r="J21" s="41"/>
      <c r="K21" s="41"/>
      <c r="L21" s="41">
        <f>IF(Sites[[#This Row],[Shipper]]="","",INDEX(Shippers[ID],MATCH(Sites[[#This Row],[Shipper]],Shippers[Code],0)))</f>
        <v>17</v>
      </c>
      <c r="M21" s="99">
        <v>958</v>
      </c>
    </row>
    <row r="22" spans="2:13">
      <c r="B22" s="95">
        <f>IF(Sites[[#This Row],[Active]]=TRUE,1,0)</f>
        <v>1</v>
      </c>
      <c r="C22" s="96" t="b">
        <v>1</v>
      </c>
      <c r="D22" s="95" t="s">
        <v>62</v>
      </c>
      <c r="E22" s="98" t="s">
        <v>62</v>
      </c>
      <c r="F22" s="98" t="s">
        <v>62</v>
      </c>
      <c r="G22" s="15">
        <v>0</v>
      </c>
      <c r="H22" s="15">
        <v>0</v>
      </c>
      <c r="I22" s="15">
        <v>0</v>
      </c>
      <c r="J22" s="41"/>
      <c r="K22" s="41"/>
      <c r="L22" s="41">
        <f>IF(Sites[[#This Row],[Shipper]]="","",INDEX(Shippers[ID],MATCH(Sites[[#This Row],[Shipper]],Shippers[Code],0)))</f>
        <v>37</v>
      </c>
      <c r="M22" s="99">
        <v>1019</v>
      </c>
    </row>
    <row r="23" spans="2:13">
      <c r="B23" s="95">
        <f>IF(Sites[[#This Row],[Active]]=TRUE,1,0)</f>
        <v>1</v>
      </c>
      <c r="C23" s="96" t="b">
        <v>1</v>
      </c>
      <c r="D23" s="95" t="s">
        <v>47</v>
      </c>
      <c r="E23" s="98" t="s">
        <v>47</v>
      </c>
      <c r="F23" s="98" t="s">
        <v>47</v>
      </c>
      <c r="G23" s="15">
        <v>0</v>
      </c>
      <c r="H23" s="15">
        <v>0</v>
      </c>
      <c r="I23" s="15">
        <v>0</v>
      </c>
      <c r="J23" s="41"/>
      <c r="K23" s="41"/>
      <c r="L23" s="41">
        <f>IF(Sites[[#This Row],[Shipper]]="","",INDEX(Shippers[ID],MATCH(Sites[[#This Row],[Shipper]],Shippers[Code],0)))</f>
        <v>18</v>
      </c>
      <c r="M23" s="99">
        <v>959</v>
      </c>
    </row>
    <row r="24" spans="2:13">
      <c r="B24" s="95">
        <f>IF(Sites[[#This Row],[Active]]=TRUE,1,0)</f>
        <v>1</v>
      </c>
      <c r="C24" s="96" t="b">
        <v>1</v>
      </c>
      <c r="D24" s="95" t="s">
        <v>93</v>
      </c>
      <c r="E24" s="98" t="s">
        <v>93</v>
      </c>
      <c r="F24" s="98" t="s">
        <v>63</v>
      </c>
      <c r="G24" s="15">
        <v>0</v>
      </c>
      <c r="H24" s="15">
        <v>0</v>
      </c>
      <c r="I24" s="15">
        <v>0</v>
      </c>
      <c r="J24" s="41"/>
      <c r="K24" s="41"/>
      <c r="L24" s="41">
        <f>IF(Sites[[#This Row],[Shipper]]="","",INDEX(Shippers[ID],MATCH(Sites[[#This Row],[Shipper]],Shippers[Code],0)))</f>
        <v>38</v>
      </c>
      <c r="M24" s="99">
        <v>1020</v>
      </c>
    </row>
    <row r="25" spans="2:13">
      <c r="B25" s="95">
        <f>IF(Sites[[#This Row],[Active]]=TRUE,1,0)</f>
        <v>1</v>
      </c>
      <c r="C25" s="96" t="b">
        <v>1</v>
      </c>
      <c r="D25" s="95" t="s">
        <v>94</v>
      </c>
      <c r="E25" s="98" t="s">
        <v>94</v>
      </c>
      <c r="F25" s="98" t="s">
        <v>63</v>
      </c>
      <c r="G25" s="15">
        <v>0</v>
      </c>
      <c r="H25" s="15">
        <v>0</v>
      </c>
      <c r="I25" s="15">
        <v>0</v>
      </c>
      <c r="J25" s="41"/>
      <c r="K25" s="41"/>
      <c r="L25" s="41">
        <f>IF(Sites[[#This Row],[Shipper]]="","",INDEX(Shippers[ID],MATCH(Sites[[#This Row],[Shipper]],Shippers[Code],0)))</f>
        <v>38</v>
      </c>
      <c r="M25" s="99">
        <v>1021</v>
      </c>
    </row>
    <row r="26" spans="2:13">
      <c r="B26" s="95">
        <f>IF(Sites[[#This Row],[Active]]=TRUE,1,0)</f>
        <v>1</v>
      </c>
      <c r="C26" s="96" t="b">
        <v>1</v>
      </c>
      <c r="D26" s="95" t="s">
        <v>95</v>
      </c>
      <c r="E26" s="98" t="s">
        <v>95</v>
      </c>
      <c r="F26" s="98" t="s">
        <v>63</v>
      </c>
      <c r="G26" s="15">
        <v>0</v>
      </c>
      <c r="H26" s="15">
        <v>0</v>
      </c>
      <c r="I26" s="15">
        <v>0</v>
      </c>
      <c r="J26" s="41"/>
      <c r="K26" s="41"/>
      <c r="L26" s="41">
        <f>IF(Sites[[#This Row],[Shipper]]="","",INDEX(Shippers[ID],MATCH(Sites[[#This Row],[Shipper]],Shippers[Code],0)))</f>
        <v>38</v>
      </c>
      <c r="M26" s="99">
        <v>1022</v>
      </c>
    </row>
    <row r="27" spans="2:13">
      <c r="B27" s="95">
        <f>IF(Sites[[#This Row],[Active]]=TRUE,1,0)</f>
        <v>1</v>
      </c>
      <c r="C27" s="96" t="b">
        <v>1</v>
      </c>
      <c r="D27" s="95" t="s">
        <v>96</v>
      </c>
      <c r="E27" s="98" t="s">
        <v>96</v>
      </c>
      <c r="F27" s="98" t="s">
        <v>63</v>
      </c>
      <c r="G27" s="15">
        <v>0</v>
      </c>
      <c r="H27" s="15">
        <v>0</v>
      </c>
      <c r="I27" s="15">
        <v>0</v>
      </c>
      <c r="J27" s="41"/>
      <c r="K27" s="41"/>
      <c r="L27" s="41">
        <f>IF(Sites[[#This Row],[Shipper]]="","",INDEX(Shippers[ID],MATCH(Sites[[#This Row],[Shipper]],Shippers[Code],0)))</f>
        <v>38</v>
      </c>
      <c r="M27" s="99">
        <v>1023</v>
      </c>
    </row>
    <row r="28" spans="2:13">
      <c r="B28" s="95">
        <f>IF(Sites[[#This Row],[Active]]=TRUE,1,0)</f>
        <v>1</v>
      </c>
      <c r="C28" s="96" t="b">
        <v>1</v>
      </c>
      <c r="D28" s="95" t="s">
        <v>76</v>
      </c>
      <c r="E28" s="98" t="s">
        <v>76</v>
      </c>
      <c r="F28" s="98" t="s">
        <v>37</v>
      </c>
      <c r="G28" s="15">
        <v>0</v>
      </c>
      <c r="H28" s="15">
        <v>0</v>
      </c>
      <c r="I28" s="15">
        <v>0</v>
      </c>
      <c r="J28" s="41"/>
      <c r="K28" s="41"/>
      <c r="L28" s="41" t="e">
        <f>IF(Sites[[#This Row],[Shipper]]="","",INDEX(Shippers[ID],MATCH(Sites[[#This Row],[Shipper]],Shippers[Code],0)))</f>
        <v>#N/A</v>
      </c>
      <c r="M28" s="99">
        <v>932</v>
      </c>
    </row>
    <row r="29" spans="2:13">
      <c r="B29" s="95">
        <f>IF(Sites[[#This Row],[Active]]=TRUE,1,0)</f>
        <v>1</v>
      </c>
      <c r="C29" s="96" t="b">
        <v>1</v>
      </c>
      <c r="D29" s="95" t="s">
        <v>77</v>
      </c>
      <c r="E29" s="98" t="s">
        <v>77</v>
      </c>
      <c r="F29" s="98" t="s">
        <v>37</v>
      </c>
      <c r="G29" s="15">
        <v>0</v>
      </c>
      <c r="H29" s="15">
        <v>0</v>
      </c>
      <c r="I29" s="15">
        <v>0</v>
      </c>
      <c r="J29" s="41"/>
      <c r="K29" s="41"/>
      <c r="L29" s="41" t="e">
        <f>IF(Sites[[#This Row],[Shipper]]="","",INDEX(Shippers[ID],MATCH(Sites[[#This Row],[Shipper]],Shippers[Code],0)))</f>
        <v>#N/A</v>
      </c>
      <c r="M29" s="99">
        <v>933</v>
      </c>
    </row>
    <row r="30" spans="2:13">
      <c r="B30" s="95">
        <f>IF(Sites[[#This Row],[Active]]=TRUE,1,0)</f>
        <v>1</v>
      </c>
      <c r="C30" s="96" t="b">
        <v>1</v>
      </c>
      <c r="D30" s="95" t="s">
        <v>83</v>
      </c>
      <c r="E30" s="98" t="s">
        <v>83</v>
      </c>
      <c r="F30" s="98" t="s">
        <v>385</v>
      </c>
      <c r="G30" s="15">
        <v>0</v>
      </c>
      <c r="H30" s="15">
        <v>0</v>
      </c>
      <c r="I30" s="15">
        <v>0</v>
      </c>
      <c r="J30" s="41"/>
      <c r="K30" s="41"/>
      <c r="L30" s="41">
        <f>IF(Sites[[#This Row],[Shipper]]="","",INDEX(Shippers[ID],MATCH(Sites[[#This Row],[Shipper]],Shippers[Code],0)))</f>
        <v>22</v>
      </c>
      <c r="M30" s="99">
        <v>965</v>
      </c>
    </row>
    <row r="31" spans="2:13">
      <c r="B31" s="95">
        <f>IF(Sites[[#This Row],[Active]]=TRUE,1,0)</f>
        <v>1</v>
      </c>
      <c r="C31" s="96" t="b">
        <v>1</v>
      </c>
      <c r="D31" s="95" t="s">
        <v>64</v>
      </c>
      <c r="E31" s="98" t="s">
        <v>64</v>
      </c>
      <c r="F31" s="98" t="s">
        <v>64</v>
      </c>
      <c r="G31" s="15">
        <v>0</v>
      </c>
      <c r="H31" s="15">
        <v>0</v>
      </c>
      <c r="I31" s="15">
        <v>0</v>
      </c>
      <c r="J31" s="41"/>
      <c r="K31" s="41"/>
      <c r="L31" s="41">
        <f>IF(Sites[[#This Row],[Shipper]]="","",INDEX(Shippers[ID],MATCH(Sites[[#This Row],[Shipper]],Shippers[Code],0)))</f>
        <v>39</v>
      </c>
      <c r="M31" s="99">
        <v>1024</v>
      </c>
    </row>
    <row r="32" spans="2:13">
      <c r="B32" s="95">
        <f>IF(Sites[[#This Row],[Active]]=TRUE,1,0)</f>
        <v>1</v>
      </c>
      <c r="C32" s="96" t="b">
        <v>1</v>
      </c>
      <c r="D32" s="95" t="s">
        <v>49</v>
      </c>
      <c r="E32" s="98" t="s">
        <v>49</v>
      </c>
      <c r="F32" s="98" t="s">
        <v>49</v>
      </c>
      <c r="G32" s="15">
        <v>0</v>
      </c>
      <c r="H32" s="15">
        <v>0</v>
      </c>
      <c r="I32" s="15">
        <v>0</v>
      </c>
      <c r="J32" s="41"/>
      <c r="K32" s="41"/>
      <c r="L32" s="41">
        <f>IF(Sites[[#This Row],[Shipper]]="","",INDEX(Shippers[ID],MATCH(Sites[[#This Row],[Shipper]],Shippers[Code],0)))</f>
        <v>20</v>
      </c>
      <c r="M32" s="99">
        <v>962</v>
      </c>
    </row>
    <row r="33" spans="2:13">
      <c r="B33" s="95">
        <f>IF(Sites[[#This Row],[Active]]=TRUE,1,0)</f>
        <v>1</v>
      </c>
      <c r="C33" s="96" t="b">
        <v>1</v>
      </c>
      <c r="D33" s="95" t="s">
        <v>97</v>
      </c>
      <c r="E33" s="98" t="s">
        <v>97</v>
      </c>
      <c r="F33" s="98" t="s">
        <v>65</v>
      </c>
      <c r="G33" s="15">
        <v>0</v>
      </c>
      <c r="H33" s="15">
        <v>0</v>
      </c>
      <c r="I33" s="15">
        <v>0</v>
      </c>
      <c r="J33" s="41"/>
      <c r="K33" s="41"/>
      <c r="L33" s="41">
        <f>IF(Sites[[#This Row],[Shipper]]="","",INDEX(Shippers[ID],MATCH(Sites[[#This Row],[Shipper]],Shippers[Code],0)))</f>
        <v>40</v>
      </c>
      <c r="M33" s="99">
        <v>1025</v>
      </c>
    </row>
    <row r="34" spans="2:13">
      <c r="B34" s="95">
        <f>IF(Sites[[#This Row],[Active]]=TRUE,1,0)</f>
        <v>1</v>
      </c>
      <c r="C34" s="96" t="b">
        <v>1</v>
      </c>
      <c r="D34" s="95" t="s">
        <v>98</v>
      </c>
      <c r="E34" s="98" t="s">
        <v>98</v>
      </c>
      <c r="F34" s="98" t="s">
        <v>65</v>
      </c>
      <c r="G34" s="15">
        <v>0</v>
      </c>
      <c r="H34" s="15">
        <v>0</v>
      </c>
      <c r="I34" s="15">
        <v>0</v>
      </c>
      <c r="J34" s="41"/>
      <c r="K34" s="41"/>
      <c r="L34" s="41">
        <f>IF(Sites[[#This Row],[Shipper]]="","",INDEX(Shippers[ID],MATCH(Sites[[#This Row],[Shipper]],Shippers[Code],0)))</f>
        <v>40</v>
      </c>
      <c r="M34" s="99">
        <v>1026</v>
      </c>
    </row>
    <row r="35" spans="2:13">
      <c r="B35" s="95">
        <f>IF(Sites[[#This Row],[Active]]=TRUE,1,0)</f>
        <v>1</v>
      </c>
      <c r="C35" s="96" t="b">
        <v>1</v>
      </c>
      <c r="D35" s="95" t="s">
        <v>41</v>
      </c>
      <c r="E35" s="98" t="s">
        <v>41</v>
      </c>
      <c r="F35" s="98" t="s">
        <v>41</v>
      </c>
      <c r="G35" s="15">
        <v>0</v>
      </c>
      <c r="H35" s="15">
        <v>0</v>
      </c>
      <c r="I35" s="15">
        <v>0</v>
      </c>
      <c r="J35" s="41"/>
      <c r="K35" s="41"/>
      <c r="L35" s="41">
        <f>IF(Sites[[#This Row],[Shipper]]="","",INDEX(Shippers[ID],MATCH(Sites[[#This Row],[Shipper]],Shippers[Code],0)))</f>
        <v>11</v>
      </c>
      <c r="M35" s="99">
        <v>949</v>
      </c>
    </row>
    <row r="36" spans="2:13">
      <c r="B36" s="95">
        <f>IF(Sites[[#This Row],[Active]]=TRUE,1,0)</f>
        <v>1</v>
      </c>
      <c r="C36" s="96" t="b">
        <v>1</v>
      </c>
      <c r="D36" s="95" t="s">
        <v>90</v>
      </c>
      <c r="E36" s="98" t="s">
        <v>90</v>
      </c>
      <c r="F36" s="98" t="s">
        <v>55</v>
      </c>
      <c r="G36" s="15">
        <v>0</v>
      </c>
      <c r="H36" s="15">
        <v>0</v>
      </c>
      <c r="I36" s="15">
        <v>0</v>
      </c>
      <c r="J36" s="41"/>
      <c r="K36" s="41"/>
      <c r="L36" s="41">
        <f>IF(Sites[[#This Row],[Shipper]]="","",INDEX(Shippers[ID],MATCH(Sites[[#This Row],[Shipper]],Shippers[Code],0)))</f>
        <v>27</v>
      </c>
      <c r="M36" s="99">
        <v>991</v>
      </c>
    </row>
    <row r="37" spans="2:13">
      <c r="B37" s="95">
        <f>IF(Sites[[#This Row],[Active]]=TRUE,1,0)</f>
        <v>1</v>
      </c>
      <c r="C37" s="96" t="b">
        <v>1</v>
      </c>
      <c r="D37" s="95" t="s">
        <v>91</v>
      </c>
      <c r="E37" s="98" t="s">
        <v>91</v>
      </c>
      <c r="F37" s="98" t="s">
        <v>55</v>
      </c>
      <c r="G37" s="15">
        <v>0</v>
      </c>
      <c r="H37" s="15">
        <v>0</v>
      </c>
      <c r="I37" s="15">
        <v>0</v>
      </c>
      <c r="J37" s="41"/>
      <c r="K37" s="41"/>
      <c r="L37" s="41">
        <f>IF(Sites[[#This Row],[Shipper]]="","",INDEX(Shippers[ID],MATCH(Sites[[#This Row],[Shipper]],Shippers[Code],0)))</f>
        <v>27</v>
      </c>
      <c r="M37" s="99">
        <v>992</v>
      </c>
    </row>
    <row r="38" spans="2:13">
      <c r="B38" s="95">
        <f>IF(Sites[[#This Row],[Active]]=TRUE,1,0)</f>
        <v>1</v>
      </c>
      <c r="C38" s="96" t="b">
        <v>1</v>
      </c>
      <c r="D38" s="95" t="s">
        <v>45</v>
      </c>
      <c r="E38" s="98" t="s">
        <v>45</v>
      </c>
      <c r="F38" s="98" t="s">
        <v>45</v>
      </c>
      <c r="G38" s="15">
        <v>0</v>
      </c>
      <c r="H38" s="15">
        <v>0</v>
      </c>
      <c r="I38" s="15">
        <v>0</v>
      </c>
      <c r="J38" s="41"/>
      <c r="K38" s="41"/>
      <c r="L38" s="41">
        <f>IF(Sites[[#This Row],[Shipper]]="","",INDEX(Shippers[ID],MATCH(Sites[[#This Row],[Shipper]],Shippers[Code],0)))</f>
        <v>16</v>
      </c>
      <c r="M38" s="99">
        <v>957</v>
      </c>
    </row>
    <row r="39" spans="2:13">
      <c r="B39" s="95">
        <f>IF(Sites[[#This Row],[Active]]=TRUE,1,0)</f>
        <v>1</v>
      </c>
      <c r="C39" s="96" t="b">
        <v>1</v>
      </c>
      <c r="D39" s="95" t="s">
        <v>42</v>
      </c>
      <c r="E39" s="98" t="s">
        <v>42</v>
      </c>
      <c r="F39" s="98" t="s">
        <v>42</v>
      </c>
      <c r="G39" s="15">
        <v>0</v>
      </c>
      <c r="H39" s="15">
        <v>0</v>
      </c>
      <c r="I39" s="15">
        <v>0</v>
      </c>
      <c r="J39" s="41"/>
      <c r="K39" s="41"/>
      <c r="L39" s="41">
        <f>IF(Sites[[#This Row],[Shipper]]="","",INDEX(Shippers[ID],MATCH(Sites[[#This Row],[Shipper]],Shippers[Code],0)))</f>
        <v>13</v>
      </c>
      <c r="M39" s="99">
        <v>952</v>
      </c>
    </row>
    <row r="40" spans="2:13">
      <c r="B40" s="95">
        <f>IF(Sites[[#This Row],[Active]]=TRUE,1,0)</f>
        <v>1</v>
      </c>
      <c r="C40" s="96" t="b">
        <v>1</v>
      </c>
      <c r="D40" s="95" t="s">
        <v>79</v>
      </c>
      <c r="E40" s="98" t="s">
        <v>79</v>
      </c>
      <c r="F40" s="98" t="s">
        <v>42</v>
      </c>
      <c r="G40" s="15">
        <v>0</v>
      </c>
      <c r="H40" s="15">
        <v>0</v>
      </c>
      <c r="I40" s="15">
        <v>0</v>
      </c>
      <c r="J40" s="41"/>
      <c r="K40" s="41"/>
      <c r="L40" s="41">
        <f>IF(Sites[[#This Row],[Shipper]]="","",INDEX(Shippers[ID],MATCH(Sites[[#This Row],[Shipper]],Shippers[Code],0)))</f>
        <v>13</v>
      </c>
      <c r="M40" s="99">
        <v>948</v>
      </c>
    </row>
    <row r="41" spans="2:13">
      <c r="B41" s="95">
        <f>IF(Sites[[#This Row],[Active]]=TRUE,1,0)</f>
        <v>1</v>
      </c>
      <c r="C41" s="96" t="b">
        <v>1</v>
      </c>
      <c r="D41" s="95" t="s">
        <v>78</v>
      </c>
      <c r="E41" s="98" t="s">
        <v>78</v>
      </c>
      <c r="F41" s="98" t="s">
        <v>42</v>
      </c>
      <c r="G41" s="15">
        <v>0</v>
      </c>
      <c r="H41" s="15">
        <v>0</v>
      </c>
      <c r="I41" s="15">
        <v>0</v>
      </c>
      <c r="J41" s="41"/>
      <c r="K41" s="41"/>
      <c r="L41" s="41">
        <f>IF(Sites[[#This Row],[Shipper]]="","",INDEX(Shippers[ID],MATCH(Sites[[#This Row],[Shipper]],Shippers[Code],0)))</f>
        <v>13</v>
      </c>
      <c r="M41" s="99">
        <v>947</v>
      </c>
    </row>
    <row r="42" spans="2:13">
      <c r="B42" s="95">
        <f>IF(Sites[[#This Row],[Active]]=TRUE,1,0)</f>
        <v>1</v>
      </c>
      <c r="C42" s="96" t="b">
        <v>1</v>
      </c>
      <c r="D42" s="95" t="s">
        <v>390</v>
      </c>
      <c r="E42" s="98" t="s">
        <v>391</v>
      </c>
      <c r="F42" s="98" t="s">
        <v>54</v>
      </c>
      <c r="G42" s="15">
        <v>0</v>
      </c>
      <c r="H42" s="15">
        <v>0</v>
      </c>
      <c r="I42" s="15">
        <v>0</v>
      </c>
      <c r="J42" s="41"/>
      <c r="K42" s="41"/>
      <c r="L42" s="41">
        <f>IF(Sites[[#This Row],[Shipper]]="","",INDEX(Shippers[ID],MATCH(Sites[[#This Row],[Shipper]],Shippers[Code],0)))</f>
        <v>26</v>
      </c>
      <c r="M42" s="99">
        <v>988</v>
      </c>
    </row>
    <row r="43" spans="2:13">
      <c r="B43" s="95">
        <f>IF(Sites[[#This Row],[Active]]=TRUE,1,0)</f>
        <v>1</v>
      </c>
      <c r="C43" s="96" t="b">
        <v>1</v>
      </c>
      <c r="D43" s="95" t="s">
        <v>89</v>
      </c>
      <c r="E43" s="98" t="s">
        <v>392</v>
      </c>
      <c r="F43" s="98" t="s">
        <v>54</v>
      </c>
      <c r="G43" s="15">
        <v>0</v>
      </c>
      <c r="H43" s="15">
        <v>0</v>
      </c>
      <c r="I43" s="15">
        <v>0</v>
      </c>
      <c r="J43" s="41"/>
      <c r="K43" s="41"/>
      <c r="L43" s="41">
        <f>IF(Sites[[#This Row],[Shipper]]="","",INDEX(Shippers[ID],MATCH(Sites[[#This Row],[Shipper]],Shippers[Code],0)))</f>
        <v>26</v>
      </c>
      <c r="M43" s="99">
        <v>989</v>
      </c>
    </row>
    <row r="44" spans="2:13">
      <c r="B44" s="95">
        <f>IF(Sites[[#This Row],[Active]]=TRUE,1,0)</f>
        <v>1</v>
      </c>
      <c r="C44" s="96" t="b">
        <v>1</v>
      </c>
      <c r="D44" s="95" t="s">
        <v>99</v>
      </c>
      <c r="E44" s="98" t="s">
        <v>393</v>
      </c>
      <c r="F44" s="98" t="s">
        <v>54</v>
      </c>
      <c r="G44" s="15">
        <v>0</v>
      </c>
      <c r="H44" s="15">
        <v>0</v>
      </c>
      <c r="I44" s="15">
        <v>0</v>
      </c>
      <c r="J44" s="41"/>
      <c r="K44" s="41"/>
      <c r="L44" s="41">
        <f>IF(Sites[[#This Row],[Shipper]]="","",INDEX(Shippers[ID],MATCH(Sites[[#This Row],[Shipper]],Shippers[Code],0)))</f>
        <v>26</v>
      </c>
      <c r="M44" s="99">
        <v>1027</v>
      </c>
    </row>
    <row r="45" spans="2:13">
      <c r="B45" s="95">
        <f>IF(Sites[[#This Row],[Active]]=TRUE,1,0)</f>
        <v>1</v>
      </c>
      <c r="C45" s="96" t="b">
        <v>1</v>
      </c>
      <c r="D45" s="95" t="s">
        <v>100</v>
      </c>
      <c r="E45" s="98" t="s">
        <v>394</v>
      </c>
      <c r="F45" s="98" t="s">
        <v>54</v>
      </c>
      <c r="G45" s="15">
        <v>0</v>
      </c>
      <c r="H45" s="15">
        <v>0</v>
      </c>
      <c r="I45" s="15">
        <v>0</v>
      </c>
      <c r="J45" s="41"/>
      <c r="K45" s="41"/>
      <c r="L45" s="41">
        <f>IF(Sites[[#This Row],[Shipper]]="","",INDEX(Shippers[ID],MATCH(Sites[[#This Row],[Shipper]],Shippers[Code],0)))</f>
        <v>26</v>
      </c>
      <c r="M45" s="99">
        <v>1028</v>
      </c>
    </row>
    <row r="46" spans="2:13">
      <c r="B46" s="95">
        <f>IF(Sites[[#This Row],[Active]]=TRUE,1,0)</f>
        <v>1</v>
      </c>
      <c r="C46" s="96" t="b">
        <v>1</v>
      </c>
      <c r="D46" s="95" t="s">
        <v>101</v>
      </c>
      <c r="E46" s="98" t="s">
        <v>395</v>
      </c>
      <c r="F46" s="98" t="s">
        <v>54</v>
      </c>
      <c r="G46" s="15">
        <v>0</v>
      </c>
      <c r="H46" s="15">
        <v>0</v>
      </c>
      <c r="I46" s="15">
        <v>0</v>
      </c>
      <c r="J46" s="41"/>
      <c r="K46" s="41"/>
      <c r="L46" s="41">
        <f>IF(Sites[[#This Row],[Shipper]]="","",INDEX(Shippers[ID],MATCH(Sites[[#This Row],[Shipper]],Shippers[Code],0)))</f>
        <v>26</v>
      </c>
      <c r="M46" s="99">
        <v>1029</v>
      </c>
    </row>
    <row r="47" spans="2:13">
      <c r="B47" s="95">
        <f>IF(Sites[[#This Row],[Active]]=TRUE,1,0)</f>
        <v>1</v>
      </c>
      <c r="C47" s="96" t="b">
        <v>1</v>
      </c>
      <c r="D47" s="95" t="s">
        <v>66</v>
      </c>
      <c r="E47" s="98" t="s">
        <v>66</v>
      </c>
      <c r="F47" s="98" t="s">
        <v>66</v>
      </c>
      <c r="G47" s="15">
        <v>0</v>
      </c>
      <c r="H47" s="15">
        <v>0</v>
      </c>
      <c r="I47" s="15">
        <v>0</v>
      </c>
      <c r="J47" s="41"/>
      <c r="K47" s="41"/>
      <c r="L47" s="41">
        <f>IF(Sites[[#This Row],[Shipper]]="","",INDEX(Shippers[ID],MATCH(Sites[[#This Row],[Shipper]],Shippers[Code],0)))</f>
        <v>41</v>
      </c>
      <c r="M47" s="99">
        <v>1030</v>
      </c>
    </row>
    <row r="48" spans="2:13">
      <c r="B48" s="95">
        <f>IF(Sites[[#This Row],[Active]]=TRUE,1,0)</f>
        <v>1</v>
      </c>
      <c r="C48" s="96" t="b">
        <v>1</v>
      </c>
      <c r="D48" s="95" t="s">
        <v>52</v>
      </c>
      <c r="E48" s="98" t="s">
        <v>383</v>
      </c>
      <c r="F48" s="98" t="s">
        <v>52</v>
      </c>
      <c r="G48" s="15">
        <v>0</v>
      </c>
      <c r="H48" s="15">
        <v>0</v>
      </c>
      <c r="I48" s="15">
        <v>0</v>
      </c>
      <c r="J48" s="41"/>
      <c r="K48" s="41"/>
      <c r="L48" s="41">
        <f>IF(Sites[[#This Row],[Shipper]]="","",INDEX(Shippers[ID],MATCH(Sites[[#This Row],[Shipper]],Shippers[Code],0)))</f>
        <v>24</v>
      </c>
      <c r="M48" s="99">
        <v>986</v>
      </c>
    </row>
    <row r="49" spans="2:13">
      <c r="B49" s="95">
        <f>IF(Sites[[#This Row],[Active]]=TRUE,1,0)</f>
        <v>1</v>
      </c>
      <c r="C49" s="96" t="b">
        <v>1</v>
      </c>
      <c r="D49" s="95" t="s">
        <v>39</v>
      </c>
      <c r="E49" s="98" t="s">
        <v>39</v>
      </c>
      <c r="F49" s="98" t="s">
        <v>39</v>
      </c>
      <c r="G49" s="15">
        <v>0</v>
      </c>
      <c r="H49" s="15">
        <v>0</v>
      </c>
      <c r="I49" s="15">
        <v>0</v>
      </c>
      <c r="J49" s="41"/>
      <c r="K49" s="41"/>
      <c r="L49" s="41">
        <f>IF(Sites[[#This Row],[Shipper]]="","",INDEX(Shippers[ID],MATCH(Sites[[#This Row],[Shipper]],Shippers[Code],0)))</f>
        <v>9</v>
      </c>
      <c r="M49" s="99">
        <v>945</v>
      </c>
    </row>
    <row r="50" spans="2:13">
      <c r="B50" s="95">
        <f>IF(Sites[[#This Row],[Active]]=TRUE,1,0)</f>
        <v>1</v>
      </c>
      <c r="C50" s="96" t="b">
        <v>1</v>
      </c>
      <c r="D50" s="95" t="s">
        <v>43</v>
      </c>
      <c r="E50" s="98" t="s">
        <v>43</v>
      </c>
      <c r="F50" s="98" t="s">
        <v>43</v>
      </c>
      <c r="G50" s="15">
        <v>0</v>
      </c>
      <c r="H50" s="15">
        <v>0</v>
      </c>
      <c r="I50" s="15">
        <v>0</v>
      </c>
      <c r="J50" s="41"/>
      <c r="K50" s="41"/>
      <c r="L50" s="41">
        <f>IF(Sites[[#This Row],[Shipper]]="","",INDEX(Shippers[ID],MATCH(Sites[[#This Row],[Shipper]],Shippers[Code],0)))</f>
        <v>14</v>
      </c>
      <c r="M50" s="99">
        <v>954</v>
      </c>
    </row>
    <row r="51" spans="2:13">
      <c r="B51" s="95">
        <f>IF(Sites[[#This Row],[Active]]=TRUE,1,0)</f>
        <v>1</v>
      </c>
      <c r="C51" s="96" t="b">
        <v>1</v>
      </c>
      <c r="D51" s="95" t="s">
        <v>80</v>
      </c>
      <c r="E51" s="98" t="s">
        <v>80</v>
      </c>
      <c r="F51" s="98" t="s">
        <v>39</v>
      </c>
      <c r="G51" s="15">
        <v>0</v>
      </c>
      <c r="H51" s="15">
        <v>0</v>
      </c>
      <c r="I51" s="15">
        <v>0</v>
      </c>
      <c r="J51" s="41"/>
      <c r="K51" s="41"/>
      <c r="L51" s="41">
        <f>IF(Sites[[#This Row],[Shipper]]="","",INDEX(Shippers[ID],MATCH(Sites[[#This Row],[Shipper]],Shippers[Code],0)))</f>
        <v>9</v>
      </c>
      <c r="M51" s="99">
        <v>955</v>
      </c>
    </row>
    <row r="52" spans="2:13">
      <c r="B52" s="95">
        <f>IF(Sites[[#This Row],[Active]]=TRUE,1,0)</f>
        <v>1</v>
      </c>
      <c r="C52" s="96" t="b">
        <v>1</v>
      </c>
      <c r="D52" s="95" t="s">
        <v>44</v>
      </c>
      <c r="E52" s="98" t="s">
        <v>44</v>
      </c>
      <c r="F52" s="98" t="s">
        <v>39</v>
      </c>
      <c r="G52" s="15">
        <v>0</v>
      </c>
      <c r="H52" s="15">
        <v>0</v>
      </c>
      <c r="I52" s="15">
        <v>0</v>
      </c>
      <c r="J52" s="41"/>
      <c r="K52" s="41"/>
      <c r="L52" s="41">
        <f>IF(Sites[[#This Row],[Shipper]]="","",INDEX(Shippers[ID],MATCH(Sites[[#This Row],[Shipper]],Shippers[Code],0)))</f>
        <v>9</v>
      </c>
      <c r="M52" s="99">
        <v>956</v>
      </c>
    </row>
    <row r="53" spans="2:13">
      <c r="B53" s="95">
        <f>IF(Sites[[#This Row],[Active]]=TRUE,1,0)</f>
        <v>1</v>
      </c>
      <c r="C53" s="96" t="b">
        <v>1</v>
      </c>
      <c r="D53" s="95" t="s">
        <v>67</v>
      </c>
      <c r="E53" s="98" t="s">
        <v>67</v>
      </c>
      <c r="F53" s="98" t="s">
        <v>67</v>
      </c>
      <c r="G53" s="15">
        <v>0</v>
      </c>
      <c r="H53" s="15">
        <v>0</v>
      </c>
      <c r="I53" s="15">
        <v>0</v>
      </c>
      <c r="J53" s="41"/>
      <c r="K53" s="41"/>
      <c r="L53" s="41">
        <f>IF(Sites[[#This Row],[Shipper]]="","",INDEX(Shippers[ID],MATCH(Sites[[#This Row],[Shipper]],Shippers[Code],0)))</f>
        <v>42</v>
      </c>
      <c r="M53" s="99">
        <v>1031</v>
      </c>
    </row>
    <row r="54" spans="2:13">
      <c r="B54" s="95">
        <f>IF(Sites[[#This Row],[Active]]=TRUE,1,0)</f>
        <v>1</v>
      </c>
      <c r="C54" s="96" t="b">
        <v>1</v>
      </c>
      <c r="D54" s="95" t="s">
        <v>36</v>
      </c>
      <c r="E54" s="98" t="s">
        <v>36</v>
      </c>
      <c r="F54" s="98" t="s">
        <v>36</v>
      </c>
      <c r="G54" s="15">
        <v>0</v>
      </c>
      <c r="H54" s="15">
        <v>0</v>
      </c>
      <c r="I54" s="15">
        <v>0</v>
      </c>
      <c r="J54" s="41"/>
      <c r="K54" s="41"/>
      <c r="L54" s="41">
        <f>IF(Sites[[#This Row],[Shipper]]="","",INDEX(Shippers[ID],MATCH(Sites[[#This Row],[Shipper]],Shippers[Code],0)))</f>
        <v>4</v>
      </c>
      <c r="M54" s="99">
        <v>931</v>
      </c>
    </row>
    <row r="55" spans="2:13">
      <c r="B55" s="95">
        <f>IF(Sites[[#This Row],[Active]]=TRUE,1,0)</f>
        <v>1</v>
      </c>
      <c r="C55" s="96" t="b">
        <v>1</v>
      </c>
      <c r="D55" s="95" t="s">
        <v>102</v>
      </c>
      <c r="E55" s="98" t="s">
        <v>102</v>
      </c>
      <c r="F55" s="98" t="s">
        <v>68</v>
      </c>
      <c r="G55" s="15">
        <v>0</v>
      </c>
      <c r="H55" s="15">
        <v>0</v>
      </c>
      <c r="I55" s="15">
        <v>0</v>
      </c>
      <c r="J55" s="41"/>
      <c r="K55" s="41"/>
      <c r="L55" s="41">
        <f>IF(Sites[[#This Row],[Shipper]]="","",INDEX(Shippers[ID],MATCH(Sites[[#This Row],[Shipper]],Shippers[Code],0)))</f>
        <v>43</v>
      </c>
      <c r="M55" s="99">
        <v>1032</v>
      </c>
    </row>
    <row r="56" spans="2:13">
      <c r="B56" s="95">
        <f>IF(Sites[[#This Row],[Active]]=TRUE,1,0)</f>
        <v>1</v>
      </c>
      <c r="C56" s="96" t="b">
        <v>1</v>
      </c>
      <c r="D56" s="95" t="s">
        <v>103</v>
      </c>
      <c r="E56" s="98" t="s">
        <v>103</v>
      </c>
      <c r="F56" s="98" t="s">
        <v>68</v>
      </c>
      <c r="G56" s="15">
        <v>0</v>
      </c>
      <c r="H56" s="15">
        <v>0</v>
      </c>
      <c r="I56" s="15">
        <v>0</v>
      </c>
      <c r="J56" s="41"/>
      <c r="K56" s="41"/>
      <c r="L56" s="41">
        <f>IF(Sites[[#This Row],[Shipper]]="","",INDEX(Shippers[ID],MATCH(Sites[[#This Row],[Shipper]],Shippers[Code],0)))</f>
        <v>43</v>
      </c>
      <c r="M56" s="99">
        <v>1033</v>
      </c>
    </row>
    <row r="57" spans="2:13">
      <c r="B57" s="95">
        <f>IF(Sites[[#This Row],[Active]]=TRUE,1,0)</f>
        <v>1</v>
      </c>
      <c r="C57" s="96" t="b">
        <v>1</v>
      </c>
      <c r="D57" s="95" t="s">
        <v>38</v>
      </c>
      <c r="E57" s="98" t="s">
        <v>38</v>
      </c>
      <c r="F57" s="98" t="s">
        <v>38</v>
      </c>
      <c r="G57" s="15">
        <v>0</v>
      </c>
      <c r="H57" s="15">
        <v>0</v>
      </c>
      <c r="I57" s="15">
        <v>0</v>
      </c>
      <c r="J57" s="41"/>
      <c r="K57" s="41"/>
      <c r="L57" s="41">
        <f>IF(Sites[[#This Row],[Shipper]]="","",INDEX(Shippers[ID],MATCH(Sites[[#This Row],[Shipper]],Shippers[Code],0)))</f>
        <v>8</v>
      </c>
      <c r="M57" s="99">
        <v>944</v>
      </c>
    </row>
    <row r="58" spans="2:13">
      <c r="B58" s="95">
        <f>IF(Sites[[#This Row],[Active]]=TRUE,1,0)</f>
        <v>1</v>
      </c>
      <c r="C58" s="96" t="b">
        <v>1</v>
      </c>
      <c r="D58" s="95" t="s">
        <v>104</v>
      </c>
      <c r="E58" s="98" t="s">
        <v>396</v>
      </c>
      <c r="F58" s="98" t="s">
        <v>51</v>
      </c>
      <c r="G58" s="15">
        <v>0</v>
      </c>
      <c r="H58" s="15">
        <v>0</v>
      </c>
      <c r="I58" s="15">
        <v>0</v>
      </c>
      <c r="J58" s="41"/>
      <c r="K58" s="41"/>
      <c r="L58" s="41">
        <f>IF(Sites[[#This Row],[Shipper]]="","",INDEX(Shippers[ID],MATCH(Sites[[#This Row],[Shipper]],Shippers[Code],0)))</f>
        <v>23</v>
      </c>
      <c r="M58" s="99">
        <v>1034</v>
      </c>
    </row>
    <row r="59" spans="2:13">
      <c r="B59" s="95">
        <f>IF(Sites[[#This Row],[Active]]=TRUE,1,0)</f>
        <v>1</v>
      </c>
      <c r="C59" s="96" t="b">
        <v>1</v>
      </c>
      <c r="D59" s="95" t="s">
        <v>105</v>
      </c>
      <c r="E59" s="98" t="s">
        <v>397</v>
      </c>
      <c r="F59" s="98" t="s">
        <v>51</v>
      </c>
      <c r="G59" s="15">
        <v>0</v>
      </c>
      <c r="H59" s="15">
        <v>0</v>
      </c>
      <c r="I59" s="15">
        <v>0</v>
      </c>
      <c r="J59" s="41"/>
      <c r="K59" s="41"/>
      <c r="L59" s="41">
        <f>IF(Sites[[#This Row],[Shipper]]="","",INDEX(Shippers[ID],MATCH(Sites[[#This Row],[Shipper]],Shippers[Code],0)))</f>
        <v>23</v>
      </c>
      <c r="M59" s="99">
        <v>1035</v>
      </c>
    </row>
    <row r="60" spans="2:13">
      <c r="B60" s="95">
        <f>IF(Sites[[#This Row],[Active]]=TRUE,1,0)</f>
        <v>1</v>
      </c>
      <c r="C60" s="96" t="b">
        <v>1</v>
      </c>
      <c r="D60" s="95" t="s">
        <v>85</v>
      </c>
      <c r="E60" s="98" t="s">
        <v>398</v>
      </c>
      <c r="F60" s="98" t="s">
        <v>51</v>
      </c>
      <c r="G60" s="15">
        <v>0</v>
      </c>
      <c r="H60" s="15">
        <v>0</v>
      </c>
      <c r="I60" s="15">
        <v>0</v>
      </c>
      <c r="J60" s="41"/>
      <c r="K60" s="41"/>
      <c r="L60" s="41">
        <f>IF(Sites[[#This Row],[Shipper]]="","",INDEX(Shippers[ID],MATCH(Sites[[#This Row],[Shipper]],Shippers[Code],0)))</f>
        <v>23</v>
      </c>
      <c r="M60" s="99">
        <v>982</v>
      </c>
    </row>
    <row r="61" spans="2:13">
      <c r="B61" s="95">
        <f>IF(Sites[[#This Row],[Active]]=TRUE,1,0)</f>
        <v>1</v>
      </c>
      <c r="C61" s="96" t="b">
        <v>1</v>
      </c>
      <c r="D61" s="95" t="s">
        <v>86</v>
      </c>
      <c r="E61" s="98" t="s">
        <v>399</v>
      </c>
      <c r="F61" s="98" t="s">
        <v>51</v>
      </c>
      <c r="G61" s="15">
        <v>0</v>
      </c>
      <c r="H61" s="15">
        <v>0</v>
      </c>
      <c r="I61" s="15">
        <v>0</v>
      </c>
      <c r="J61" s="41"/>
      <c r="K61" s="41"/>
      <c r="L61" s="41">
        <f>IF(Sites[[#This Row],[Shipper]]="","",INDEX(Shippers[ID],MATCH(Sites[[#This Row],[Shipper]],Shippers[Code],0)))</f>
        <v>23</v>
      </c>
      <c r="M61" s="99">
        <v>983</v>
      </c>
    </row>
    <row r="62" spans="2:13">
      <c r="B62" s="95">
        <f>IF(Sites[[#This Row],[Active]]=TRUE,1,0)</f>
        <v>1</v>
      </c>
      <c r="C62" s="96" t="b">
        <v>1</v>
      </c>
      <c r="D62" s="95" t="s">
        <v>87</v>
      </c>
      <c r="E62" s="98" t="s">
        <v>400</v>
      </c>
      <c r="F62" s="98" t="s">
        <v>51</v>
      </c>
      <c r="G62" s="15">
        <v>0</v>
      </c>
      <c r="H62" s="15">
        <v>0</v>
      </c>
      <c r="I62" s="15">
        <v>0</v>
      </c>
      <c r="J62" s="41"/>
      <c r="K62" s="41"/>
      <c r="L62" s="41">
        <f>IF(Sites[[#This Row],[Shipper]]="","",INDEX(Shippers[ID],MATCH(Sites[[#This Row],[Shipper]],Shippers[Code],0)))</f>
        <v>23</v>
      </c>
      <c r="M62" s="99">
        <v>984</v>
      </c>
    </row>
    <row r="63" spans="2:13">
      <c r="B63" s="95">
        <f>IF(Sites[[#This Row],[Active]]=TRUE,1,0)</f>
        <v>1</v>
      </c>
      <c r="C63" s="96" t="b">
        <v>1</v>
      </c>
      <c r="D63" s="95" t="s">
        <v>88</v>
      </c>
      <c r="E63" s="98" t="s">
        <v>401</v>
      </c>
      <c r="F63" s="98" t="s">
        <v>51</v>
      </c>
      <c r="G63" s="15">
        <v>0</v>
      </c>
      <c r="H63" s="15">
        <v>0</v>
      </c>
      <c r="I63" s="15">
        <v>0</v>
      </c>
      <c r="J63" s="41"/>
      <c r="K63" s="41"/>
      <c r="L63" s="41">
        <f>IF(Sites[[#This Row],[Shipper]]="","",INDEX(Shippers[ID],MATCH(Sites[[#This Row],[Shipper]],Shippers[Code],0)))</f>
        <v>23</v>
      </c>
      <c r="M63" s="99">
        <v>985</v>
      </c>
    </row>
    <row r="64" spans="2:13">
      <c r="B64" s="95">
        <f>IF(Sites[[#This Row],[Active]]=TRUE,1,0)</f>
        <v>1</v>
      </c>
      <c r="C64" s="96" t="b">
        <v>1</v>
      </c>
      <c r="D64" s="95" t="s">
        <v>402</v>
      </c>
      <c r="E64" s="98" t="s">
        <v>402</v>
      </c>
      <c r="F64" s="98" t="s">
        <v>385</v>
      </c>
      <c r="G64" s="15">
        <v>0</v>
      </c>
      <c r="H64" s="15">
        <v>0</v>
      </c>
      <c r="I64" s="15">
        <v>0</v>
      </c>
      <c r="J64" s="41"/>
      <c r="K64" s="41"/>
      <c r="L64" s="41">
        <f>IF(Sites[[#This Row],[Shipper]]="","",INDEX(Shippers[ID],MATCH(Sites[[#This Row],[Shipper]],Shippers[Code],0)))</f>
        <v>22</v>
      </c>
      <c r="M64" s="99">
        <v>1007</v>
      </c>
    </row>
    <row r="65" spans="2:13">
      <c r="B65" s="95">
        <f>IF(Sites[[#This Row],[Active]]=TRUE,1,0)</f>
        <v>1</v>
      </c>
      <c r="C65" s="96" t="b">
        <v>1</v>
      </c>
      <c r="D65" s="95" t="s">
        <v>403</v>
      </c>
      <c r="E65" s="98" t="s">
        <v>403</v>
      </c>
      <c r="F65" s="98" t="s">
        <v>385</v>
      </c>
      <c r="G65" s="15">
        <v>0</v>
      </c>
      <c r="H65" s="15">
        <v>0</v>
      </c>
      <c r="I65" s="15">
        <v>0</v>
      </c>
      <c r="J65" s="41"/>
      <c r="K65" s="41"/>
      <c r="L65" s="41">
        <f>IF(Sites[[#This Row],[Shipper]]="","",INDEX(Shippers[ID],MATCH(Sites[[#This Row],[Shipper]],Shippers[Code],0)))</f>
        <v>22</v>
      </c>
      <c r="M65" s="99">
        <v>1008</v>
      </c>
    </row>
    <row r="66" spans="2:13">
      <c r="B66" s="95">
        <f>IF(Sites[[#This Row],[Active]]=TRUE,1,0)</f>
        <v>1</v>
      </c>
      <c r="C66" s="96" t="b">
        <v>1</v>
      </c>
      <c r="D66" s="95" t="s">
        <v>404</v>
      </c>
      <c r="E66" s="98" t="s">
        <v>404</v>
      </c>
      <c r="F66" s="98" t="s">
        <v>385</v>
      </c>
      <c r="G66" s="15">
        <v>0</v>
      </c>
      <c r="H66" s="15">
        <v>0</v>
      </c>
      <c r="I66" s="15">
        <v>0</v>
      </c>
      <c r="J66" s="41"/>
      <c r="K66" s="41"/>
      <c r="L66" s="41">
        <f>IF(Sites[[#This Row],[Shipper]]="","",INDEX(Shippers[ID],MATCH(Sites[[#This Row],[Shipper]],Shippers[Code],0)))</f>
        <v>22</v>
      </c>
      <c r="M66" s="99">
        <v>1009</v>
      </c>
    </row>
    <row r="67" spans="2:13">
      <c r="B67" s="95">
        <f>IF(Sites[[#This Row],[Active]]=TRUE,1,0)</f>
        <v>1</v>
      </c>
      <c r="C67" s="96" t="b">
        <v>1</v>
      </c>
      <c r="D67" s="95" t="s">
        <v>405</v>
      </c>
      <c r="E67" s="98" t="s">
        <v>405</v>
      </c>
      <c r="F67" s="98" t="s">
        <v>385</v>
      </c>
      <c r="G67" s="15">
        <v>0</v>
      </c>
      <c r="H67" s="15">
        <v>0</v>
      </c>
      <c r="I67" s="15">
        <v>0</v>
      </c>
      <c r="J67" s="41"/>
      <c r="K67" s="41"/>
      <c r="L67" s="41">
        <f>IF(Sites[[#This Row],[Shipper]]="","",INDEX(Shippers[ID],MATCH(Sites[[#This Row],[Shipper]],Shippers[Code],0)))</f>
        <v>22</v>
      </c>
      <c r="M67" s="99">
        <v>1010</v>
      </c>
    </row>
    <row r="68" spans="2:13">
      <c r="B68" s="95">
        <f>IF(Sites[[#This Row],[Active]]=TRUE,1,0)</f>
        <v>1</v>
      </c>
      <c r="C68" s="96" t="b">
        <v>1</v>
      </c>
      <c r="D68" s="95" t="s">
        <v>406</v>
      </c>
      <c r="E68" s="98" t="s">
        <v>406</v>
      </c>
      <c r="F68" s="98" t="s">
        <v>385</v>
      </c>
      <c r="G68" s="15">
        <v>0</v>
      </c>
      <c r="H68" s="15">
        <v>0</v>
      </c>
      <c r="I68" s="15">
        <v>0</v>
      </c>
      <c r="J68" s="41"/>
      <c r="K68" s="41"/>
      <c r="L68" s="41">
        <f>IF(Sites[[#This Row],[Shipper]]="","",INDEX(Shippers[ID],MATCH(Sites[[#This Row],[Shipper]],Shippers[Code],0)))</f>
        <v>22</v>
      </c>
      <c r="M68" s="99">
        <v>1011</v>
      </c>
    </row>
    <row r="69" spans="2:13">
      <c r="B69" s="95">
        <f>IF(Sites[[#This Row],[Active]]=TRUE,1,0)</f>
        <v>1</v>
      </c>
      <c r="C69" s="96" t="b">
        <v>1</v>
      </c>
      <c r="D69" s="95" t="s">
        <v>407</v>
      </c>
      <c r="E69" s="98" t="s">
        <v>407</v>
      </c>
      <c r="F69" s="98" t="s">
        <v>385</v>
      </c>
      <c r="G69" s="15">
        <v>0</v>
      </c>
      <c r="H69" s="15">
        <v>0</v>
      </c>
      <c r="I69" s="15">
        <v>0</v>
      </c>
      <c r="J69" s="41"/>
      <c r="K69" s="41"/>
      <c r="L69" s="41">
        <f>IF(Sites[[#This Row],[Shipper]]="","",INDEX(Shippers[ID],MATCH(Sites[[#This Row],[Shipper]],Shippers[Code],0)))</f>
        <v>22</v>
      </c>
      <c r="M69" s="99">
        <v>1012</v>
      </c>
    </row>
    <row r="70" spans="2:13">
      <c r="B70" s="95">
        <f>IF(Sites[[#This Row],[Active]]=TRUE,1,0)</f>
        <v>1</v>
      </c>
      <c r="C70" s="96" t="b">
        <v>1</v>
      </c>
      <c r="D70" s="95" t="s">
        <v>408</v>
      </c>
      <c r="E70" s="98" t="s">
        <v>408</v>
      </c>
      <c r="F70" s="98" t="s">
        <v>385</v>
      </c>
      <c r="G70" s="15">
        <v>0</v>
      </c>
      <c r="H70" s="15">
        <v>0</v>
      </c>
      <c r="I70" s="15">
        <v>0</v>
      </c>
      <c r="J70" s="41"/>
      <c r="K70" s="41"/>
      <c r="L70" s="41">
        <f>IF(Sites[[#This Row],[Shipper]]="","",INDEX(Shippers[ID],MATCH(Sites[[#This Row],[Shipper]],Shippers[Code],0)))</f>
        <v>22</v>
      </c>
      <c r="M70" s="99">
        <v>1013</v>
      </c>
    </row>
    <row r="71" spans="2:13">
      <c r="B71" s="95">
        <f>IF(Sites[[#This Row],[Active]]=TRUE,1,0)</f>
        <v>1</v>
      </c>
      <c r="C71" s="96" t="b">
        <v>1</v>
      </c>
      <c r="D71" s="95" t="s">
        <v>106</v>
      </c>
      <c r="E71" s="98" t="s">
        <v>69</v>
      </c>
      <c r="F71" s="98" t="s">
        <v>69</v>
      </c>
      <c r="G71" s="15">
        <v>0</v>
      </c>
      <c r="H71" s="15">
        <v>0</v>
      </c>
      <c r="I71" s="15">
        <v>0</v>
      </c>
      <c r="J71" s="41"/>
      <c r="K71" s="41"/>
      <c r="L71" s="41">
        <f>IF(Sites[[#This Row],[Shipper]]="","",INDEX(Shippers[ID],MATCH(Sites[[#This Row],[Shipper]],Shippers[Code],0)))</f>
        <v>44</v>
      </c>
      <c r="M71" s="99">
        <v>1036</v>
      </c>
    </row>
    <row r="72" spans="2:13">
      <c r="B72" s="95">
        <f>IF(Sites[[#This Row],[Active]]=TRUE,1,0)</f>
        <v>1</v>
      </c>
      <c r="C72" s="96" t="b">
        <v>1</v>
      </c>
      <c r="D72" s="95" t="s">
        <v>92</v>
      </c>
      <c r="E72" s="98" t="s">
        <v>92</v>
      </c>
      <c r="F72" s="98" t="s">
        <v>57</v>
      </c>
      <c r="G72" s="15">
        <v>0</v>
      </c>
      <c r="H72" s="15">
        <v>0</v>
      </c>
      <c r="I72" s="15">
        <v>0</v>
      </c>
      <c r="J72" s="41"/>
      <c r="K72" s="41"/>
      <c r="L72" s="41">
        <f>IF(Sites[[#This Row],[Shipper]]="","",INDEX(Shippers[ID],MATCH(Sites[[#This Row],[Shipper]],Shippers[Code],0)))</f>
        <v>29</v>
      </c>
      <c r="M72" s="99">
        <v>999</v>
      </c>
    </row>
    <row r="73" spans="2:13">
      <c r="B73" s="95">
        <f>IF(Sites[[#This Row],[Active]]=TRUE,1,0)</f>
        <v>1</v>
      </c>
      <c r="C73" s="96" t="b">
        <v>1</v>
      </c>
      <c r="D73" s="95" t="s">
        <v>107</v>
      </c>
      <c r="E73" s="98" t="s">
        <v>107</v>
      </c>
      <c r="F73" s="98" t="s">
        <v>57</v>
      </c>
      <c r="G73" s="15">
        <v>0</v>
      </c>
      <c r="H73" s="15">
        <v>0</v>
      </c>
      <c r="I73" s="15">
        <v>0</v>
      </c>
      <c r="J73" s="41"/>
      <c r="K73" s="41"/>
      <c r="L73" s="41">
        <f>IF(Sites[[#This Row],[Shipper]]="","",INDEX(Shippers[ID],MATCH(Sites[[#This Row],[Shipper]],Shippers[Code],0)))</f>
        <v>29</v>
      </c>
      <c r="M73" s="99">
        <v>1037</v>
      </c>
    </row>
    <row r="74" spans="2:13">
      <c r="B74" s="95">
        <f>IF(Sites[[#This Row],[Active]]=TRUE,1,0)</f>
        <v>1</v>
      </c>
      <c r="C74" s="96" t="b">
        <v>1</v>
      </c>
      <c r="D74" s="95" t="s">
        <v>108</v>
      </c>
      <c r="E74" s="98" t="s">
        <v>108</v>
      </c>
      <c r="F74" s="98" t="s">
        <v>57</v>
      </c>
      <c r="G74" s="15">
        <v>0</v>
      </c>
      <c r="H74" s="15">
        <v>0</v>
      </c>
      <c r="I74" s="15">
        <v>0</v>
      </c>
      <c r="J74" s="41"/>
      <c r="K74" s="41"/>
      <c r="L74" s="41">
        <f>IF(Sites[[#This Row],[Shipper]]="","",INDEX(Shippers[ID],MATCH(Sites[[#This Row],[Shipper]],Shippers[Code],0)))</f>
        <v>29</v>
      </c>
      <c r="M74" s="99">
        <v>1038</v>
      </c>
    </row>
  </sheetData>
  <dataConsolidate/>
  <mergeCells count="1">
    <mergeCell ref="B2:G2"/>
  </mergeCells>
  <conditionalFormatting sqref="B5:F74 J5:M74">
    <cfRule type="expression" dxfId="261" priority="1">
      <formula>$C5 = FALSE</formula>
    </cfRule>
  </conditionalFormatting>
  <conditionalFormatting sqref="C5:C74">
    <cfRule type="containsText" dxfId="260" priority="2" operator="containsText" text="TRUE">
      <formula>NOT(ISERROR(SEARCH("TRUE",C5)))</formula>
    </cfRule>
    <cfRule type="containsText" dxfId="259" priority="3" operator="containsText" text="FALSE">
      <formula>NOT(ISERROR(SEARCH("FALSE",C5)))</formula>
    </cfRule>
  </conditionalFormatting>
  <dataValidations count="2">
    <dataValidation type="list" allowBlank="1" showInputMessage="1" showErrorMessage="1" sqref="C5:C74" xr:uid="{00000000-0002-0000-0400-000000000000}">
      <formula1>"TRUE, FALSE"</formula1>
    </dataValidation>
    <dataValidation type="list" allowBlank="1" showInputMessage="1" showErrorMessage="1" sqref="F5:F74" xr:uid="{00000000-0002-0000-0400-000001000000}">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194"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B5:B74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FF00"/>
    <pageSetUpPr fitToPage="1"/>
  </sheetPr>
  <dimension ref="A1:W5"/>
  <sheetViews>
    <sheetView showGridLines="0" topLeftCell="A2" zoomScaleNormal="100" workbookViewId="0">
      <pane xSplit="1" ySplit="3" topLeftCell="B5" activePane="bottomRight" state="frozen"/>
      <selection activeCell="E58" sqref="E58"/>
      <selection pane="topRight" activeCell="E58" sqref="E58"/>
      <selection pane="bottomLeft" activeCell="E58" sqref="E58"/>
      <selection pane="bottomRight" activeCell="C7" sqref="C7"/>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6" width="21.28515625" customWidth="1"/>
    <col min="7"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106" t="s">
        <v>169</v>
      </c>
      <c r="C2" s="106"/>
      <c r="D2" s="106"/>
      <c r="E2" s="106"/>
      <c r="F2" s="106"/>
      <c r="G2" s="106"/>
      <c r="H2" s="106"/>
      <c r="I2" s="106"/>
      <c r="J2" s="106"/>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71</v>
      </c>
      <c r="G4" s="19" t="s">
        <v>138</v>
      </c>
      <c r="H4" s="19" t="s">
        <v>167</v>
      </c>
      <c r="I4" s="19" t="s">
        <v>168</v>
      </c>
      <c r="J4" s="19" t="s">
        <v>140</v>
      </c>
      <c r="K4" s="19" t="s">
        <v>4</v>
      </c>
      <c r="L4" s="19" t="s">
        <v>109</v>
      </c>
      <c r="M4" s="19" t="s">
        <v>186</v>
      </c>
      <c r="N4" s="19" t="s">
        <v>187</v>
      </c>
      <c r="O4" s="19" t="s">
        <v>188</v>
      </c>
      <c r="P4" s="19" t="s">
        <v>189</v>
      </c>
      <c r="Q4" s="19" t="s">
        <v>17</v>
      </c>
    </row>
    <row r="5" spans="1:23">
      <c r="A5" s="23"/>
      <c r="B5" s="26"/>
      <c r="C5" s="27"/>
      <c r="D5" s="25"/>
      <c r="E5" s="30"/>
      <c r="F5" s="40"/>
      <c r="G5" s="35"/>
      <c r="H5" s="40"/>
      <c r="I5" s="35"/>
      <c r="J5" s="35"/>
      <c r="Q5" s="32"/>
    </row>
  </sheetData>
  <dataConsolidate/>
  <mergeCells count="1">
    <mergeCell ref="B2:J2"/>
  </mergeCells>
  <conditionalFormatting sqref="Q5 B5:J5">
    <cfRule type="expression" dxfId="242" priority="116">
      <formula>$C5 = FALSE</formula>
    </cfRule>
  </conditionalFormatting>
  <conditionalFormatting sqref="C5 H5 F5">
    <cfRule type="containsText" dxfId="241" priority="117" operator="containsText" text="TRUE">
      <formula>NOT(ISERROR(SEARCH("TRUE",C5)))</formula>
    </cfRule>
    <cfRule type="containsText" dxfId="240" priority="118" operator="containsText" text="FALSE">
      <formula>NOT(ISERROR(SEARCH("FALSE",C5)))</formula>
    </cfRule>
  </conditionalFormatting>
  <dataValidations count="4">
    <dataValidation type="list" allowBlank="1" showInputMessage="1" showErrorMessage="1" sqref="C5" xr:uid="{00000000-0002-0000-0500-000000000000}">
      <formula1>"TRUE, FALSE"</formula1>
    </dataValidation>
    <dataValidation type="list" allowBlank="1" showInputMessage="1" showErrorMessage="1" sqref="I5 G5" xr:uid="{00000000-0002-0000-0500-000001000000}">
      <formula1>INDIRECT("Sites[Code]")</formula1>
    </dataValidation>
    <dataValidation type="list" allowBlank="1" showInputMessage="1" showErrorMessage="1" sqref="H5 F5" xr:uid="{00000000-0002-0000-0500-000002000000}">
      <formula1>INDIRECT("Shippers[Code]")</formula1>
    </dataValidation>
    <dataValidation type="list" allowBlank="1" showInputMessage="1" showErrorMessage="1" sqref="J5" xr:uid="{00000000-0002-0000-0500-000003000000}">
      <formula1>INDIRECT("TransportMethods[Code]")</formula1>
    </dataValidation>
  </dataValidations>
  <pageMargins left="0.7" right="0.7" top="0.75" bottom="0.75" header="0.3" footer="0.3"/>
  <pageSetup scale="5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112"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92D050"/>
    <pageSetUpPr fitToPage="1"/>
  </sheetPr>
  <dimension ref="A1:H8"/>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C6" sqref="C6"/>
    </sheetView>
  </sheetViews>
  <sheetFormatPr defaultRowHeight="15"/>
  <cols>
    <col min="1" max="1" width="21.28515625" style="22" customWidth="1"/>
    <col min="2" max="2" width="6.42578125" customWidth="1"/>
    <col min="3" max="3" width="11.140625" style="15" customWidth="1"/>
    <col min="4" max="4" width="26.140625" style="85" customWidth="1"/>
    <col min="5"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3" t="s">
        <v>182</v>
      </c>
      <c r="C2" s="63"/>
      <c r="D2" s="94"/>
      <c r="E2" s="24"/>
    </row>
    <row r="3" spans="1:8" s="4" customFormat="1" ht="9" customHeight="1" thickTop="1">
      <c r="A3" s="22"/>
      <c r="C3" s="21"/>
      <c r="D3" s="21"/>
    </row>
    <row r="4" spans="1:8" s="13" customFormat="1" ht="15" customHeight="1">
      <c r="A4" s="22"/>
      <c r="B4" s="20" t="s">
        <v>11</v>
      </c>
      <c r="C4" s="19" t="s">
        <v>1</v>
      </c>
      <c r="D4" s="19" t="s">
        <v>162</v>
      </c>
      <c r="E4" s="19" t="s">
        <v>4</v>
      </c>
      <c r="F4" s="19" t="s">
        <v>314</v>
      </c>
      <c r="G4" s="19" t="s">
        <v>2</v>
      </c>
      <c r="H4" s="19" t="s">
        <v>17</v>
      </c>
    </row>
    <row r="5" spans="1:8">
      <c r="A5" s="23"/>
      <c r="B5" s="26">
        <f>IF(Stream2Experiment[[#This Row],[Active]]=TRUE,1,0)</f>
        <v>1</v>
      </c>
      <c r="C5" s="27" t="b">
        <v>1</v>
      </c>
      <c r="D5" s="85" t="s">
        <v>380</v>
      </c>
      <c r="E5" s="27"/>
      <c r="F5" s="27" t="e">
        <f>IF(Stream2Experiment[[#This Row],[Stream]]="","",INDEX(Streams[ID],MATCH(Stream2Experiment[[#This Row],[Stream]],Streams[Code],0)))</f>
        <v>#N/A</v>
      </c>
      <c r="G5" s="32">
        <v>1</v>
      </c>
      <c r="H5" s="32">
        <v>8</v>
      </c>
    </row>
    <row r="8" spans="1:8" ht="14.25" customHeight="1"/>
  </sheetData>
  <dataConsolidate/>
  <conditionalFormatting sqref="E5:H5 B5:C5">
    <cfRule type="expression" dxfId="220" priority="1">
      <formula>$C5 = FALSE</formula>
    </cfRule>
  </conditionalFormatting>
  <conditionalFormatting sqref="E5:F5 C5">
    <cfRule type="containsText" dxfId="219" priority="2" operator="containsText" text="TRUE">
      <formula>NOT(ISERROR(SEARCH("TRUE",C5)))</formula>
    </cfRule>
    <cfRule type="containsText" dxfId="218" priority="3" operator="containsText" text="FALSE">
      <formula>NOT(ISERROR(SEARCH("FALSE",C5)))</formula>
    </cfRule>
  </conditionalFormatting>
  <dataValidations count="2">
    <dataValidation type="list" allowBlank="1" showInputMessage="1" showErrorMessage="1" sqref="D5" xr:uid="{00000000-0002-0000-0600-000000000000}">
      <formula1>INDIRECT("Streams[Code]")</formula1>
    </dataValidation>
    <dataValidation type="list" allowBlank="1" showInputMessage="1" showErrorMessage="1" sqref="C5" xr:uid="{00000000-0002-0000-0600-000001000000}">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7932"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92D050"/>
    <pageSetUpPr fitToPage="1"/>
  </sheetPr>
  <dimension ref="A1:Z9"/>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I6" sqref="I6"/>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8" bestFit="1" customWidth="1"/>
    <col min="6" max="6" width="13.85546875" style="1" bestFit="1" customWidth="1"/>
    <col min="7" max="7" width="25.7109375" bestFit="1" customWidth="1"/>
    <col min="8" max="9" width="9.42578125" bestFit="1" customWidth="1"/>
    <col min="10" max="10" width="13.42578125" bestFit="1" customWidth="1"/>
    <col min="11" max="11" width="9.42578125" bestFit="1" customWidth="1"/>
    <col min="12" max="15" width="22.7109375" customWidth="1"/>
    <col min="16" max="16" width="10.7109375" bestFit="1" customWidth="1"/>
    <col min="17" max="17" width="15.85546875" bestFit="1" customWidth="1"/>
    <col min="18" max="18" width="9.28515625" customWidth="1"/>
    <col min="19" max="19" width="9.28515625" hidden="1" customWidth="1"/>
    <col min="20" max="21" width="19.42578125" hidden="1" customWidth="1"/>
    <col min="22" max="22" width="15.85546875" hidden="1" customWidth="1"/>
    <col min="23" max="23" width="14.28515625" hidden="1" customWidth="1"/>
    <col min="24" max="24" width="13.42578125" bestFit="1" customWidth="1"/>
    <col min="25" max="25" width="16.28515625" bestFit="1" customWidth="1"/>
    <col min="26" max="26" width="15.140625" bestFit="1" customWidth="1"/>
    <col min="27" max="27" width="15.85546875" customWidth="1"/>
    <col min="28" max="28" width="7.42578125" customWidth="1"/>
  </cols>
  <sheetData>
    <row r="1" spans="1:26" ht="74.25" hidden="1" customHeight="1">
      <c r="A1" s="16"/>
      <c r="Z1">
        <v>52</v>
      </c>
    </row>
    <row r="2" spans="1:26" s="5" customFormat="1" ht="29.25" customHeight="1" thickBot="1">
      <c r="A2" s="22"/>
      <c r="B2" s="106" t="s">
        <v>110</v>
      </c>
      <c r="C2" s="106"/>
      <c r="D2" s="106"/>
      <c r="E2" s="106"/>
      <c r="F2" s="106"/>
      <c r="G2" s="106"/>
      <c r="H2" s="106"/>
      <c r="I2" s="106"/>
      <c r="J2" s="106"/>
      <c r="K2" s="106"/>
      <c r="L2" s="106"/>
      <c r="M2" s="106"/>
      <c r="N2" s="106"/>
      <c r="O2" s="106"/>
      <c r="P2" s="106"/>
    </row>
    <row r="3" spans="1:26" s="4" customFormat="1" ht="9" customHeight="1" thickTop="1">
      <c r="A3" s="22"/>
      <c r="C3" s="21"/>
      <c r="F3" s="34"/>
    </row>
    <row r="4" spans="1:26" s="13" customFormat="1" ht="15" customHeight="1">
      <c r="A4" s="22"/>
      <c r="B4" s="20" t="s">
        <v>11</v>
      </c>
      <c r="C4" s="17" t="s">
        <v>1</v>
      </c>
      <c r="D4" s="17" t="s">
        <v>0</v>
      </c>
      <c r="E4" s="17" t="s">
        <v>111</v>
      </c>
      <c r="F4" s="17" t="s">
        <v>112</v>
      </c>
      <c r="G4" s="17" t="s">
        <v>121</v>
      </c>
      <c r="H4" s="17" t="s">
        <v>23</v>
      </c>
      <c r="I4" s="17" t="s">
        <v>113</v>
      </c>
      <c r="J4" s="17" t="s">
        <v>20</v>
      </c>
      <c r="K4" s="17" t="s">
        <v>114</v>
      </c>
      <c r="L4" s="17" t="s">
        <v>194</v>
      </c>
      <c r="M4" s="17" t="s">
        <v>115</v>
      </c>
      <c r="N4" s="17" t="s">
        <v>116</v>
      </c>
      <c r="O4" s="17" t="s">
        <v>117</v>
      </c>
      <c r="P4" s="17" t="s">
        <v>118</v>
      </c>
      <c r="Q4" s="17" t="s">
        <v>119</v>
      </c>
      <c r="R4" s="17" t="s">
        <v>120</v>
      </c>
      <c r="S4" s="17" t="s">
        <v>370</v>
      </c>
      <c r="T4" s="17" t="s">
        <v>307</v>
      </c>
      <c r="U4" s="17" t="s">
        <v>309</v>
      </c>
      <c r="V4" s="17" t="s">
        <v>2</v>
      </c>
      <c r="W4" s="17" t="s">
        <v>17</v>
      </c>
    </row>
    <row r="5" spans="1:26">
      <c r="B5" s="86">
        <f>IF(ProductCosts[[#This Row],[Active]]=TRUE,1,0)</f>
        <v>1</v>
      </c>
      <c r="C5" s="87" t="b">
        <v>1</v>
      </c>
      <c r="D5" s="88" t="s">
        <v>371</v>
      </c>
      <c r="E5" s="15" t="s">
        <v>122</v>
      </c>
      <c r="F5" s="15" t="s">
        <v>372</v>
      </c>
      <c r="G5" s="15"/>
      <c r="H5" s="15">
        <v>1</v>
      </c>
      <c r="I5" s="15">
        <v>45.76</v>
      </c>
      <c r="J5" s="15" t="s">
        <v>338</v>
      </c>
      <c r="K5" s="15" t="s">
        <v>339</v>
      </c>
      <c r="L5" s="15"/>
      <c r="M5" s="15">
        <v>796</v>
      </c>
      <c r="N5" s="15">
        <v>876</v>
      </c>
      <c r="O5" s="15">
        <v>0</v>
      </c>
      <c r="P5" s="15">
        <v>0.5</v>
      </c>
      <c r="Q5" s="15"/>
      <c r="R5" s="15"/>
      <c r="S5" s="15" t="str">
        <f>IF(ProductCosts[[#This Row],[Reference Commodity]]="","",INDEX(Commodities[ID],MATCH(ProductCosts[[#This Row],[Reference Commodity]],Commodities[Code],0)))</f>
        <v/>
      </c>
      <c r="T5" s="7">
        <f>IF(ProductCosts[[#This Row],[Material Type]]="","",INDEX(MaterialTypes[ID],MATCH(ProductCosts[[#This Row],[Material Type]],MaterialTypes[Code],0)))</f>
        <v>9</v>
      </c>
      <c r="U5" s="7" t="str">
        <f>IF(ProductCosts[[#This Row],[Reference Commodity]]="","",INDEX(Commodities[ID],MATCH(ProductCosts[[#This Row],[Reference Commodity]],Commodities[Code],0)))</f>
        <v/>
      </c>
      <c r="V5">
        <v>1</v>
      </c>
      <c r="W5" s="89">
        <v>1</v>
      </c>
    </row>
    <row r="6" spans="1:26">
      <c r="B6" s="95">
        <f>IF(ProductCosts[[#This Row],[Active]]=TRUE,1,0)</f>
        <v>1</v>
      </c>
      <c r="C6" s="96" t="b">
        <v>1</v>
      </c>
      <c r="D6" s="97" t="s">
        <v>340</v>
      </c>
      <c r="E6" s="15" t="s">
        <v>289</v>
      </c>
      <c r="F6" s="15" t="s">
        <v>341</v>
      </c>
      <c r="G6" s="15" t="s">
        <v>123</v>
      </c>
      <c r="H6" s="15">
        <v>4</v>
      </c>
      <c r="I6" s="15">
        <v>-3.72</v>
      </c>
      <c r="J6" s="15" t="s">
        <v>432</v>
      </c>
      <c r="K6" s="15" t="s">
        <v>430</v>
      </c>
      <c r="L6" s="15"/>
      <c r="M6" s="15">
        <v>796</v>
      </c>
      <c r="N6" s="15">
        <v>876</v>
      </c>
      <c r="O6" s="15">
        <v>0.5</v>
      </c>
      <c r="P6" s="15">
        <v>5</v>
      </c>
      <c r="Q6" s="15"/>
      <c r="R6" s="15"/>
      <c r="S6" s="7">
        <f>IF(ProductCosts[[#This Row],[Reference Commodity]]="","",INDEX(Commodities[ID],MATCH(ProductCosts[[#This Row],[Reference Commodity]],Commodities[Code],0)))</f>
        <v>915</v>
      </c>
      <c r="T6" s="7">
        <f>IF(ProductCosts[[#This Row],[Material Type]]="","",INDEX(MaterialTypes[ID],MATCH(ProductCosts[[#This Row],[Material Type]],MaterialTypes[Code],0)))</f>
        <v>8</v>
      </c>
      <c r="U6" s="7">
        <f>IF(ProductCosts[[#This Row],[Reference Commodity]]="","",INDEX(Commodities[ID],MATCH(ProductCosts[[#This Row],[Reference Commodity]],Commodities[Code],0)))</f>
        <v>915</v>
      </c>
      <c r="V6">
        <v>1</v>
      </c>
      <c r="W6" s="99">
        <v>2</v>
      </c>
    </row>
    <row r="7" spans="1:26">
      <c r="B7" s="95">
        <f>IF(ProductCosts[[#This Row],[Active]]=TRUE,1,0)</f>
        <v>1</v>
      </c>
      <c r="C7" s="96" t="b">
        <v>1</v>
      </c>
      <c r="D7" s="97" t="s">
        <v>342</v>
      </c>
      <c r="E7" s="15" t="s">
        <v>297</v>
      </c>
      <c r="F7" s="15" t="s">
        <v>341</v>
      </c>
      <c r="G7" s="15" t="s">
        <v>123</v>
      </c>
      <c r="H7" s="15">
        <v>5</v>
      </c>
      <c r="I7" s="15">
        <v>-5.87</v>
      </c>
      <c r="J7" s="15" t="s">
        <v>338</v>
      </c>
      <c r="K7" s="15" t="s">
        <v>339</v>
      </c>
      <c r="L7" s="15"/>
      <c r="M7" s="15">
        <v>876</v>
      </c>
      <c r="N7" s="15">
        <v>904</v>
      </c>
      <c r="O7" s="15">
        <v>0.5</v>
      </c>
      <c r="P7" s="15">
        <v>5</v>
      </c>
      <c r="Q7" s="15"/>
      <c r="R7" s="15"/>
      <c r="S7" s="7">
        <f>IF(ProductCosts[[#This Row],[Reference Commodity]]="","",INDEX(Commodities[ID],MATCH(ProductCosts[[#This Row],[Reference Commodity]],Commodities[Code],0)))</f>
        <v>915</v>
      </c>
      <c r="T7" s="7">
        <f>IF(ProductCosts[[#This Row],[Material Type]]="","",INDEX(MaterialTypes[ID],MATCH(ProductCosts[[#This Row],[Material Type]],MaterialTypes[Code],0)))</f>
        <v>15</v>
      </c>
      <c r="U7" s="7">
        <f>IF(ProductCosts[[#This Row],[Reference Commodity]]="","",INDEX(Commodities[ID],MATCH(ProductCosts[[#This Row],[Reference Commodity]],Commodities[Code],0)))</f>
        <v>915</v>
      </c>
      <c r="V7">
        <v>1</v>
      </c>
      <c r="W7" s="99">
        <v>3</v>
      </c>
    </row>
    <row r="8" spans="1:26">
      <c r="B8" s="95">
        <f>IF(ProductCosts[[#This Row],[Active]]=TRUE,1,0)</f>
        <v>1</v>
      </c>
      <c r="C8" s="96" t="b">
        <v>1</v>
      </c>
      <c r="D8" s="97" t="s">
        <v>343</v>
      </c>
      <c r="E8" s="15" t="s">
        <v>206</v>
      </c>
      <c r="F8" s="15" t="s">
        <v>344</v>
      </c>
      <c r="G8" s="15" t="s">
        <v>123</v>
      </c>
      <c r="H8" s="15">
        <v>2</v>
      </c>
      <c r="I8" s="15">
        <v>0.55024300000000004</v>
      </c>
      <c r="J8" s="15"/>
      <c r="K8" s="15" t="s">
        <v>339</v>
      </c>
      <c r="L8" s="15"/>
      <c r="M8" s="15">
        <v>500</v>
      </c>
      <c r="N8" s="15">
        <v>630</v>
      </c>
      <c r="O8" s="15">
        <v>0</v>
      </c>
      <c r="P8" s="15">
        <v>0</v>
      </c>
      <c r="Q8" s="15"/>
      <c r="R8" s="15"/>
      <c r="S8" s="7">
        <f>IF(ProductCosts[[#This Row],[Reference Commodity]]="","",INDEX(Commodities[ID],MATCH(ProductCosts[[#This Row],[Reference Commodity]],Commodities[Code],0)))</f>
        <v>915</v>
      </c>
      <c r="T8" s="7">
        <f>IF(ProductCosts[[#This Row],[Material Type]]="","",INDEX(MaterialTypes[ID],MATCH(ProductCosts[[#This Row],[Material Type]],MaterialTypes[Code],0)))</f>
        <v>14</v>
      </c>
      <c r="U8" s="7">
        <f>IF(ProductCosts[[#This Row],[Reference Commodity]]="","",INDEX(Commodities[ID],MATCH(ProductCosts[[#This Row],[Reference Commodity]],Commodities[Code],0)))</f>
        <v>915</v>
      </c>
      <c r="V8">
        <v>1</v>
      </c>
      <c r="W8" s="99">
        <v>4</v>
      </c>
    </row>
    <row r="9" spans="1:26">
      <c r="B9" s="95">
        <f>IF(ProductCosts[[#This Row],[Active]]=TRUE,1,0)</f>
        <v>1</v>
      </c>
      <c r="C9" s="96" t="b">
        <v>1</v>
      </c>
      <c r="D9" s="97" t="s">
        <v>427</v>
      </c>
      <c r="E9" s="15" t="s">
        <v>272</v>
      </c>
      <c r="F9" s="15" t="s">
        <v>341</v>
      </c>
      <c r="G9" s="15" t="s">
        <v>123</v>
      </c>
      <c r="H9" s="15">
        <v>3</v>
      </c>
      <c r="I9" s="15">
        <v>-3.5</v>
      </c>
      <c r="J9" s="15" t="s">
        <v>338</v>
      </c>
      <c r="K9" s="15" t="s">
        <v>339</v>
      </c>
      <c r="L9" s="15"/>
      <c r="M9" s="15">
        <v>630</v>
      </c>
      <c r="N9" s="15">
        <v>796</v>
      </c>
      <c r="O9" s="15">
        <v>0</v>
      </c>
      <c r="P9" s="15">
        <v>0.2</v>
      </c>
      <c r="Q9" s="15"/>
      <c r="R9" s="15"/>
      <c r="S9" s="7">
        <f>IF(ProductCosts[[#This Row],[Reference Commodity]]="","",INDEX(Commodities[ID],MATCH(ProductCosts[[#This Row],[Reference Commodity]],Commodities[Code],0)))</f>
        <v>915</v>
      </c>
      <c r="T9" s="7">
        <f>IF(ProductCosts[[#This Row],[Material Type]]="","",INDEX(MaterialTypes[ID],MATCH(ProductCosts[[#This Row],[Material Type]],MaterialTypes[Code],0)))</f>
        <v>16</v>
      </c>
      <c r="U9" s="7">
        <f>IF(ProductCosts[[#This Row],[Reference Commodity]]="","",INDEX(Commodities[ID],MATCH(ProductCosts[[#This Row],[Reference Commodity]],Commodities[Code],0)))</f>
        <v>915</v>
      </c>
      <c r="V9">
        <v>1</v>
      </c>
      <c r="W9" s="99">
        <v>35</v>
      </c>
    </row>
  </sheetData>
  <dataConsolidate/>
  <mergeCells count="1">
    <mergeCell ref="B2:P2"/>
  </mergeCells>
  <conditionalFormatting sqref="B5:D9 W5:W9">
    <cfRule type="expression" dxfId="206" priority="1">
      <formula>$C5 = FALSE</formula>
    </cfRule>
  </conditionalFormatting>
  <conditionalFormatting sqref="C5:C9">
    <cfRule type="containsText" dxfId="205" priority="2" operator="containsText" text="TRUE">
      <formula>NOT(ISERROR(SEARCH("TRUE",C5)))</formula>
    </cfRule>
    <cfRule type="containsText" dxfId="204" priority="3" operator="containsText" text="FALSE">
      <formula>NOT(ISERROR(SEARCH("FALSE",C5)))</formula>
    </cfRule>
  </conditionalFormatting>
  <dataValidations count="7">
    <dataValidation type="list" allowBlank="1" showInputMessage="1" showErrorMessage="1" sqref="C5:C9" xr:uid="{00000000-0002-0000-0700-000000000000}">
      <formula1>"TRUE, FALSE"</formula1>
    </dataValidation>
    <dataValidation type="list" allowBlank="1" showInputMessage="1" showErrorMessage="1" sqref="F5:F9" xr:uid="{00000000-0002-0000-0700-000001000000}">
      <formula1>"FIXED, GAP, RELATIVE"</formula1>
    </dataValidation>
    <dataValidation type="list" allowBlank="1" showInputMessage="1" showErrorMessage="1" sqref="G5:G9" xr:uid="{00000000-0002-0000-0700-000002000000}">
      <formula1>INDIRECT("Commodities[Code]")</formula1>
    </dataValidation>
    <dataValidation type="list" allowBlank="1" showInputMessage="1" showErrorMessage="1" sqref="J5:J9" xr:uid="{00000000-0002-0000-0700-000003000000}">
      <formula1>"CAD, USD"</formula1>
    </dataValidation>
    <dataValidation type="list" allowBlank="1" showInputMessage="1" showErrorMessage="1" sqref="E5:E9" xr:uid="{00000000-0002-0000-0700-000004000000}">
      <formula1>INDIRECT("MaterialTypes[Code]")</formula1>
    </dataValidation>
    <dataValidation type="list" allowBlank="1" showInputMessage="1" showErrorMessage="1" sqref="K5:L9" xr:uid="{00000000-0002-0000-0700-000005000000}">
      <formula1>"BBL, M3, UNIT"</formula1>
    </dataValidation>
    <dataValidation type="whole" operator="greaterThan" allowBlank="1" showInputMessage="1" showErrorMessage="1" sqref="H5:H9" xr:uid="{00000000-0002-0000-0700-000006000000}">
      <formula1>0</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197"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92D050"/>
    <pageSetUpPr fitToPage="1"/>
  </sheetPr>
  <dimension ref="A1:AK8"/>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I13" sqref="I13"/>
    </sheetView>
  </sheetViews>
  <sheetFormatPr defaultRowHeight="15"/>
  <cols>
    <col min="1" max="1" width="21.28515625" style="22" customWidth="1"/>
    <col min="2" max="2" width="6.42578125" customWidth="1"/>
    <col min="3" max="3" width="11.140625" style="15" customWidth="1"/>
    <col min="4" max="4" width="10.140625" bestFit="1"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8.28515625"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customWidth="1"/>
    <col min="36" max="36" width="15.85546875" customWidth="1"/>
    <col min="37" max="37" width="9.140625" customWidth="1"/>
  </cols>
  <sheetData>
    <row r="1" spans="1:37" ht="74.25" hidden="1" customHeight="1">
      <c r="A1" s="16"/>
      <c r="P1">
        <v>52</v>
      </c>
    </row>
    <row r="2" spans="1:37" s="5" customFormat="1" ht="29.25" customHeight="1" thickBot="1">
      <c r="A2" s="22"/>
      <c r="B2" s="106" t="s">
        <v>136</v>
      </c>
      <c r="C2" s="106"/>
      <c r="D2" s="106"/>
      <c r="E2" s="106"/>
      <c r="F2" s="106"/>
      <c r="G2" s="106"/>
      <c r="H2" s="24"/>
    </row>
    <row r="3" spans="1:37" s="4" customFormat="1" ht="9" customHeight="1" thickTop="1">
      <c r="A3" s="22"/>
      <c r="C3" s="21"/>
    </row>
    <row r="4" spans="1:37" s="13" customFormat="1" ht="15" customHeight="1">
      <c r="A4" s="22"/>
      <c r="B4" s="20" t="s">
        <v>11</v>
      </c>
      <c r="C4" s="19" t="s">
        <v>1</v>
      </c>
      <c r="D4" s="19" t="s">
        <v>0</v>
      </c>
      <c r="E4" s="19" t="s">
        <v>137</v>
      </c>
      <c r="F4" s="19" t="s">
        <v>71</v>
      </c>
      <c r="G4" s="19" t="s">
        <v>138</v>
      </c>
      <c r="H4" s="19" t="s">
        <v>139</v>
      </c>
      <c r="I4" s="19" t="s">
        <v>140</v>
      </c>
      <c r="J4" s="19" t="s">
        <v>141</v>
      </c>
      <c r="K4" s="19" t="s">
        <v>142</v>
      </c>
      <c r="L4" s="19" t="s">
        <v>153</v>
      </c>
      <c r="M4" s="19" t="s">
        <v>143</v>
      </c>
      <c r="N4" s="19" t="s">
        <v>144</v>
      </c>
      <c r="O4" s="19" t="s">
        <v>195</v>
      </c>
      <c r="P4" s="19" t="s">
        <v>196</v>
      </c>
      <c r="Q4" s="19" t="s">
        <v>197</v>
      </c>
      <c r="R4" s="19" t="s">
        <v>145</v>
      </c>
      <c r="S4" s="19" t="s">
        <v>198</v>
      </c>
      <c r="T4" s="19" t="s">
        <v>199</v>
      </c>
      <c r="U4" s="19" t="s">
        <v>200</v>
      </c>
      <c r="V4" s="19" t="s">
        <v>146</v>
      </c>
      <c r="W4" s="19" t="s">
        <v>201</v>
      </c>
      <c r="X4" s="19" t="s">
        <v>147</v>
      </c>
      <c r="Y4" s="19" t="s">
        <v>202</v>
      </c>
      <c r="Z4" s="19" t="s">
        <v>148</v>
      </c>
      <c r="AA4" s="19" t="s">
        <v>149</v>
      </c>
      <c r="AB4" s="19" t="s">
        <v>150</v>
      </c>
      <c r="AC4" s="19" t="s">
        <v>151</v>
      </c>
      <c r="AD4" s="19" t="s">
        <v>152</v>
      </c>
      <c r="AE4" s="19" t="s">
        <v>203</v>
      </c>
      <c r="AF4" s="19" t="s">
        <v>109</v>
      </c>
      <c r="AG4" s="19" t="s">
        <v>186</v>
      </c>
      <c r="AH4" s="19" t="s">
        <v>309</v>
      </c>
      <c r="AI4" s="19" t="s">
        <v>189</v>
      </c>
      <c r="AJ4" s="19" t="s">
        <v>2</v>
      </c>
      <c r="AK4" s="19" t="s">
        <v>17</v>
      </c>
    </row>
    <row r="5" spans="1:37">
      <c r="A5" s="23"/>
      <c r="B5" s="26">
        <f>IF(Nominations[[#This Row],[Active]]=TRUE,1,0)</f>
        <v>1</v>
      </c>
      <c r="C5" s="40" t="b">
        <v>1</v>
      </c>
      <c r="D5" s="35" t="s">
        <v>154</v>
      </c>
      <c r="E5" s="35">
        <v>1</v>
      </c>
      <c r="F5" s="42" t="s">
        <v>34</v>
      </c>
      <c r="G5" s="35" t="s">
        <v>34</v>
      </c>
      <c r="H5" s="35" t="s">
        <v>155</v>
      </c>
      <c r="I5" s="40" t="s">
        <v>156</v>
      </c>
      <c r="J5" s="40" t="b">
        <v>1</v>
      </c>
      <c r="K5" s="35">
        <v>648.29999999999995</v>
      </c>
      <c r="L5" s="40"/>
      <c r="M5" s="35">
        <v>35</v>
      </c>
      <c r="N5" s="35">
        <v>750</v>
      </c>
      <c r="O5" s="35" t="b">
        <v>0</v>
      </c>
      <c r="P5" s="35"/>
      <c r="Q5" s="35"/>
      <c r="R5" s="35">
        <v>841.92105263157885</v>
      </c>
      <c r="S5" s="35"/>
      <c r="T5" s="40">
        <v>1.194</v>
      </c>
      <c r="U5" s="40"/>
      <c r="V5" s="40"/>
      <c r="W5" s="40"/>
      <c r="X5" s="40">
        <v>77.3</v>
      </c>
      <c r="Y5" s="40"/>
      <c r="Z5" s="40"/>
      <c r="AA5" s="40"/>
      <c r="AB5" s="40"/>
      <c r="AC5" s="40"/>
      <c r="AD5" s="40"/>
      <c r="AE5" s="40">
        <v>1</v>
      </c>
      <c r="AF5" s="40">
        <f>IF(Nominations[[#This Row],[Shipper]]="","",INDEX(Shippers[ID],MATCH(Nominations[[#This Row],[Shipper]],Shippers[Code],0)))</f>
        <v>1</v>
      </c>
      <c r="AG5" s="40">
        <f>IF(Nominations[[#This Row],[Site]]="","",INDEX(Sites[ID],MATCH(Nominations[[#This Row],[Site]],Sites[Code],0)))</f>
        <v>924</v>
      </c>
      <c r="AH5" s="40">
        <f>IF(Nominations[[#This Row],[Commodity]]="","",INDEX(Commodities[ID],MATCH(Nominations[[#This Row],[Commodity]],Commodities[Code],0)))</f>
        <v>912</v>
      </c>
      <c r="AI5" s="40">
        <f>IF(Nominations[[#This Row],[Transport Method]]="","",INDEX(TransportMethods[ID],MATCH(Nominations[[#This Row],[Transport Method]],TransportMethods[Code],0)))</f>
        <v>2</v>
      </c>
      <c r="AJ5" s="31">
        <v>1</v>
      </c>
      <c r="AK5" s="32">
        <v>164</v>
      </c>
    </row>
    <row r="6" spans="1:37">
      <c r="B6" s="95">
        <f>IF(Nominations[[#This Row],[Active]]=TRUE,1,0)</f>
        <v>1</v>
      </c>
      <c r="C6" s="102" t="b">
        <v>1</v>
      </c>
      <c r="D6" s="97" t="s">
        <v>433</v>
      </c>
      <c r="E6" s="97">
        <v>2</v>
      </c>
      <c r="F6" s="103"/>
      <c r="G6" s="97"/>
      <c r="H6" s="97" t="s">
        <v>135</v>
      </c>
      <c r="I6" s="64" t="s">
        <v>156</v>
      </c>
      <c r="J6" s="64" t="b">
        <v>1</v>
      </c>
      <c r="K6" s="65">
        <v>864.9000000000002</v>
      </c>
      <c r="L6" s="101"/>
      <c r="M6" s="65">
        <v>35</v>
      </c>
      <c r="N6" s="65">
        <v>1000</v>
      </c>
      <c r="O6" s="65" t="b">
        <v>0</v>
      </c>
      <c r="P6" s="65"/>
      <c r="Q6" s="65"/>
      <c r="R6" s="65">
        <v>888.78117003617251</v>
      </c>
      <c r="S6" s="65"/>
      <c r="T6" s="101">
        <v>1.9730000000000001</v>
      </c>
      <c r="U6" s="101"/>
      <c r="V6" s="101"/>
      <c r="W6" s="101"/>
      <c r="X6" s="101">
        <v>46</v>
      </c>
      <c r="Y6" s="101"/>
      <c r="Z6" s="101"/>
      <c r="AA6" s="101"/>
      <c r="AB6" s="101"/>
      <c r="AC6" s="101"/>
      <c r="AD6" s="101"/>
      <c r="AE6" s="101">
        <v>2</v>
      </c>
      <c r="AF6" s="101" t="str">
        <f>IF(Nominations[[#This Row],[Shipper]]="","",INDEX(Shippers[ID],MATCH(Nominations[[#This Row],[Shipper]],Shippers[Code],0)))</f>
        <v/>
      </c>
      <c r="AG6" s="101" t="str">
        <f>IF(Nominations[[#This Row],[Site]]="","",INDEX(Sites[ID],MATCH(Nominations[[#This Row],[Site]],Sites[Code],0)))</f>
        <v/>
      </c>
      <c r="AH6" s="101">
        <f>IF(Nominations[[#This Row],[Commodity]]="","",INDEX(Commodities[ID],MATCH(Nominations[[#This Row],[Commodity]],Commodities[Code],0)))</f>
        <v>913</v>
      </c>
      <c r="AI6" s="101">
        <f>IF(Nominations[[#This Row],[Transport Method]]="","",INDEX(TransportMethods[ID],MATCH(Nominations[[#This Row],[Transport Method]],TransportMethods[Code],0)))</f>
        <v>2</v>
      </c>
      <c r="AJ6" s="99">
        <v>1</v>
      </c>
      <c r="AK6" s="99">
        <v>165</v>
      </c>
    </row>
    <row r="7" spans="1:37">
      <c r="B7" s="95">
        <f>IF(Nominations[[#This Row],[Active]]=TRUE,1,0)</f>
        <v>1</v>
      </c>
      <c r="C7" s="102" t="b">
        <v>1</v>
      </c>
      <c r="D7" s="97" t="s">
        <v>434</v>
      </c>
      <c r="E7" s="97">
        <v>3</v>
      </c>
      <c r="F7" s="103"/>
      <c r="G7" s="97"/>
      <c r="H7" s="97" t="s">
        <v>155</v>
      </c>
      <c r="I7" s="64" t="s">
        <v>156</v>
      </c>
      <c r="J7" s="64" t="b">
        <v>1</v>
      </c>
      <c r="K7" s="65">
        <v>212.7</v>
      </c>
      <c r="L7" s="101"/>
      <c r="M7" s="65">
        <v>35</v>
      </c>
      <c r="N7" s="65">
        <v>350</v>
      </c>
      <c r="O7" s="65" t="b">
        <v>0</v>
      </c>
      <c r="P7" s="65"/>
      <c r="Q7" s="65"/>
      <c r="R7" s="65">
        <v>839.26229431123647</v>
      </c>
      <c r="S7" s="65"/>
      <c r="T7" s="101">
        <v>1.2110000000000001</v>
      </c>
      <c r="U7" s="101"/>
      <c r="V7" s="101"/>
      <c r="W7" s="101"/>
      <c r="X7" s="101">
        <v>37</v>
      </c>
      <c r="Y7" s="101"/>
      <c r="Z7" s="101"/>
      <c r="AA7" s="101"/>
      <c r="AB7" s="101"/>
      <c r="AC7" s="101"/>
      <c r="AD7" s="101"/>
      <c r="AE7" s="101">
        <v>3</v>
      </c>
      <c r="AF7" s="101" t="str">
        <f>IF(Nominations[[#This Row],[Shipper]]="","",INDEX(Shippers[ID],MATCH(Nominations[[#This Row],[Shipper]],Shippers[Code],0)))</f>
        <v/>
      </c>
      <c r="AG7" s="101" t="str">
        <f>IF(Nominations[[#This Row],[Site]]="","",INDEX(Sites[ID],MATCH(Nominations[[#This Row],[Site]],Sites[Code],0)))</f>
        <v/>
      </c>
      <c r="AH7" s="101">
        <f>IF(Nominations[[#This Row],[Commodity]]="","",INDEX(Commodities[ID],MATCH(Nominations[[#This Row],[Commodity]],Commodities[Code],0)))</f>
        <v>912</v>
      </c>
      <c r="AI7" s="101">
        <f>IF(Nominations[[#This Row],[Transport Method]]="","",INDEX(TransportMethods[ID],MATCH(Nominations[[#This Row],[Transport Method]],TransportMethods[Code],0)))</f>
        <v>2</v>
      </c>
      <c r="AJ7" s="99">
        <v>1</v>
      </c>
      <c r="AK7" s="99">
        <v>166</v>
      </c>
    </row>
    <row r="8" spans="1:37">
      <c r="B8" s="95">
        <f>IF(Nominations[[#This Row],[Active]]=TRUE,1,0)</f>
        <v>1</v>
      </c>
      <c r="C8" s="102" t="b">
        <v>1</v>
      </c>
      <c r="D8" s="97" t="s">
        <v>435</v>
      </c>
      <c r="E8" s="97">
        <v>4</v>
      </c>
      <c r="F8" s="103"/>
      <c r="G8" s="97"/>
      <c r="H8" s="97" t="s">
        <v>155</v>
      </c>
      <c r="I8" s="64" t="s">
        <v>156</v>
      </c>
      <c r="J8" s="64" t="b">
        <v>1</v>
      </c>
      <c r="K8" s="65">
        <v>36.000000999999997</v>
      </c>
      <c r="L8" s="101"/>
      <c r="M8" s="65">
        <v>35</v>
      </c>
      <c r="N8" s="65">
        <v>100</v>
      </c>
      <c r="O8" s="65" t="b">
        <v>0</v>
      </c>
      <c r="P8" s="65"/>
      <c r="Q8" s="65"/>
      <c r="R8" s="65">
        <v>723</v>
      </c>
      <c r="S8" s="65"/>
      <c r="T8" s="101">
        <v>0.7</v>
      </c>
      <c r="U8" s="101"/>
      <c r="V8" s="101"/>
      <c r="W8" s="101"/>
      <c r="X8" s="101">
        <v>112</v>
      </c>
      <c r="Y8" s="101"/>
      <c r="Z8" s="101"/>
      <c r="AA8" s="101"/>
      <c r="AB8" s="101"/>
      <c r="AC8" s="101"/>
      <c r="AD8" s="101"/>
      <c r="AE8" s="101">
        <v>1.2</v>
      </c>
      <c r="AF8" s="101" t="str">
        <f>IF(Nominations[[#This Row],[Shipper]]="","",INDEX(Shippers[ID],MATCH(Nominations[[#This Row],[Shipper]],Shippers[Code],0)))</f>
        <v/>
      </c>
      <c r="AG8" s="101" t="str">
        <f>IF(Nominations[[#This Row],[Site]]="","",INDEX(Sites[ID],MATCH(Nominations[[#This Row],[Site]],Sites[Code],0)))</f>
        <v/>
      </c>
      <c r="AH8" s="101">
        <f>IF(Nominations[[#This Row],[Commodity]]="","",INDEX(Commodities[ID],MATCH(Nominations[[#This Row],[Commodity]],Commodities[Code],0)))</f>
        <v>912</v>
      </c>
      <c r="AI8" s="101">
        <f>IF(Nominations[[#This Row],[Transport Method]]="","",INDEX(TransportMethods[ID],MATCH(Nominations[[#This Row],[Transport Method]],TransportMethods[Code],0)))</f>
        <v>2</v>
      </c>
      <c r="AJ8" s="99">
        <v>1</v>
      </c>
      <c r="AK8" s="99">
        <v>167</v>
      </c>
    </row>
  </sheetData>
  <dataConsolidate/>
  <mergeCells count="1">
    <mergeCell ref="B2:G2"/>
  </mergeCells>
  <conditionalFormatting sqref="B5:AK8">
    <cfRule type="expression" dxfId="178" priority="5">
      <formula>$C5 = FALSE</formula>
    </cfRule>
  </conditionalFormatting>
  <conditionalFormatting sqref="C5:C8 I5:J8 T5:AI8 L5:L8">
    <cfRule type="containsText" dxfId="177" priority="6" operator="containsText" text="TRUE">
      <formula>NOT(ISERROR(SEARCH("TRUE",C5)))</formula>
    </cfRule>
    <cfRule type="containsText" dxfId="176" priority="7" operator="containsText" text="FALSE">
      <formula>NOT(ISERROR(SEARCH("FALSE",C5)))</formula>
    </cfRule>
  </conditionalFormatting>
  <dataValidations count="5">
    <dataValidation type="list" allowBlank="1" showInputMessage="1" showErrorMessage="1" sqref="C5:C8 J5:J8 O5:O8" xr:uid="{00000000-0002-0000-0900-000000000000}">
      <formula1>"TRUE, FALSE"</formula1>
    </dataValidation>
    <dataValidation type="list" allowBlank="1" showInputMessage="1" showErrorMessage="1" sqref="F5:F8" xr:uid="{00000000-0002-0000-0900-000001000000}">
      <formula1>INDIRECT("Shippers[Code]")</formula1>
    </dataValidation>
    <dataValidation type="list" allowBlank="1" showInputMessage="1" showErrorMessage="1" sqref="G5:G8" xr:uid="{00000000-0002-0000-0900-000002000000}">
      <formula1>INDIRECT("Sites[Code]")</formula1>
    </dataValidation>
    <dataValidation type="list" allowBlank="1" showInputMessage="1" showErrorMessage="1" sqref="I5:I8" xr:uid="{00000000-0002-0000-0900-000003000000}">
      <formula1>INDIRECT("TransportMethods[Code]")</formula1>
    </dataValidation>
    <dataValidation type="list" allowBlank="1" showInputMessage="1" showErrorMessage="1" sqref="H5:H8" xr:uid="{00000000-0002-0000-0900-00000400000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217"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7" tint="-0.499984740745262"/>
    <pageSetUpPr fitToPage="1"/>
  </sheetPr>
  <dimension ref="A1:O9"/>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H9" sqref="H9"/>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13" customWidth="1"/>
    <col min="7" max="7" width="15.7109375" customWidth="1"/>
    <col min="8" max="8" width="25.42578125" bestFit="1" customWidth="1"/>
    <col min="9" max="9" width="22.42578125" style="85" bestFit="1" customWidth="1"/>
    <col min="10" max="10" width="25.7109375" style="85" bestFit="1" customWidth="1"/>
    <col min="11" max="11" width="22.7109375" style="85" bestFit="1" customWidth="1"/>
    <col min="12" max="13" width="22.7109375" hidden="1" customWidth="1"/>
    <col min="14" max="14" width="17.28515625" hidden="1" customWidth="1"/>
    <col min="15" max="15" width="7.42578125" hidden="1" customWidth="1"/>
  </cols>
  <sheetData>
    <row r="1" spans="1:15" ht="74.25" hidden="1" customHeight="1">
      <c r="A1" s="16"/>
    </row>
    <row r="2" spans="1:15" s="5" customFormat="1" ht="29.25" customHeight="1" thickBot="1">
      <c r="A2" s="22"/>
      <c r="B2" s="63" t="s">
        <v>160</v>
      </c>
      <c r="C2" s="63"/>
      <c r="D2" s="63"/>
      <c r="E2" s="63"/>
      <c r="F2" s="63"/>
      <c r="G2" s="63"/>
      <c r="I2" s="92"/>
      <c r="J2" s="92"/>
      <c r="K2" s="92"/>
    </row>
    <row r="3" spans="1:15" s="4" customFormat="1" ht="9" customHeight="1" thickTop="1">
      <c r="A3" s="22"/>
      <c r="C3" s="21"/>
      <c r="I3" s="21"/>
      <c r="J3" s="21"/>
      <c r="K3" s="21"/>
    </row>
    <row r="4" spans="1:15" s="13" customFormat="1" ht="15" customHeight="1">
      <c r="A4" s="22"/>
      <c r="B4" s="20" t="s">
        <v>11</v>
      </c>
      <c r="C4" s="19" t="s">
        <v>1</v>
      </c>
      <c r="D4" s="19" t="s">
        <v>0</v>
      </c>
      <c r="E4" s="19" t="s">
        <v>161</v>
      </c>
      <c r="F4" s="19" t="s">
        <v>138</v>
      </c>
      <c r="G4" s="19" t="s">
        <v>162</v>
      </c>
      <c r="H4" s="19" t="s">
        <v>183</v>
      </c>
      <c r="I4" s="19" t="s">
        <v>164</v>
      </c>
      <c r="J4" s="19" t="s">
        <v>184</v>
      </c>
      <c r="K4" s="19" t="s">
        <v>166</v>
      </c>
      <c r="L4" s="19" t="s">
        <v>186</v>
      </c>
      <c r="M4" s="19" t="s">
        <v>314</v>
      </c>
      <c r="N4" s="19" t="s">
        <v>2</v>
      </c>
      <c r="O4" s="19" t="s">
        <v>17</v>
      </c>
    </row>
    <row r="5" spans="1:15">
      <c r="A5" s="23"/>
      <c r="B5" s="26">
        <f>IF(OutflowConstraints[[#This Row],[Active]]=TRUE,1,0)</f>
        <v>1</v>
      </c>
      <c r="C5" s="27" t="b">
        <v>1</v>
      </c>
      <c r="D5" s="30" t="s">
        <v>331</v>
      </c>
      <c r="E5" s="30" t="s">
        <v>332</v>
      </c>
      <c r="F5" t="s">
        <v>387</v>
      </c>
      <c r="G5" s="27" t="s">
        <v>380</v>
      </c>
      <c r="H5" s="27" t="b">
        <v>1</v>
      </c>
      <c r="I5" s="85">
        <v>820</v>
      </c>
      <c r="J5" s="27" t="b">
        <v>1</v>
      </c>
      <c r="K5" s="85">
        <v>841</v>
      </c>
      <c r="L5">
        <f>IF(OutflowConstraints[[#This Row],[Site]]="","",INDEX(Sites[ID],MATCH(OutflowConstraints[[#This Row],[Site]],Sites[Code],0)))</f>
        <v>964</v>
      </c>
      <c r="M5" t="e">
        <f>IF(OutflowConstraints[[#This Row],[Stream]]="","",INDEX(Streams[ID],MATCH(OutflowConstraints[[#This Row],[Stream]],Streams[Code],0)))</f>
        <v>#N/A</v>
      </c>
      <c r="N5" s="32">
        <v>1</v>
      </c>
      <c r="O5" s="32">
        <v>48</v>
      </c>
    </row>
    <row r="6" spans="1:15">
      <c r="B6" s="95">
        <f>IF(OutflowConstraints[[#This Row],[Active]]=TRUE,1,0)</f>
        <v>1</v>
      </c>
      <c r="C6" s="96" t="b">
        <v>1</v>
      </c>
      <c r="D6" s="98" t="s">
        <v>333</v>
      </c>
      <c r="E6" s="98" t="s">
        <v>147</v>
      </c>
      <c r="F6" t="s">
        <v>387</v>
      </c>
      <c r="G6" s="25" t="s">
        <v>380</v>
      </c>
      <c r="H6" s="96" t="b">
        <v>0</v>
      </c>
      <c r="I6" s="85">
        <v>0</v>
      </c>
      <c r="J6" s="96" t="b">
        <v>1</v>
      </c>
      <c r="K6" s="85">
        <v>93</v>
      </c>
      <c r="L6" s="6">
        <f>IF(OutflowConstraints[[#This Row],[Site]]="","",INDEX(Sites[ID],MATCH(OutflowConstraints[[#This Row],[Site]],Sites[Code],0)))</f>
        <v>964</v>
      </c>
      <c r="M6" s="6" t="e">
        <f>IF(OutflowConstraints[[#This Row],[Stream]]="","",INDEX(Streams[ID],MATCH(OutflowConstraints[[#This Row],[Stream]],Streams[Code],0)))</f>
        <v>#N/A</v>
      </c>
      <c r="N6" s="99">
        <v>1</v>
      </c>
      <c r="O6" s="99">
        <v>49</v>
      </c>
    </row>
    <row r="7" spans="1:15">
      <c r="B7" s="95">
        <f>IF(OutflowConstraints[[#This Row],[Active]]=TRUE,1,0)</f>
        <v>1</v>
      </c>
      <c r="C7" s="96" t="b">
        <v>1</v>
      </c>
      <c r="D7" s="98" t="s">
        <v>334</v>
      </c>
      <c r="E7" s="98" t="s">
        <v>185</v>
      </c>
      <c r="F7" t="s">
        <v>387</v>
      </c>
      <c r="G7" s="25" t="s">
        <v>380</v>
      </c>
      <c r="H7" s="96" t="b">
        <v>1</v>
      </c>
      <c r="I7" s="85">
        <v>0</v>
      </c>
      <c r="J7" s="96" t="b">
        <v>0</v>
      </c>
      <c r="K7" s="85">
        <v>1000001</v>
      </c>
      <c r="L7" s="6">
        <f>IF(OutflowConstraints[[#This Row],[Site]]="","",INDEX(Sites[ID],MATCH(OutflowConstraints[[#This Row],[Site]],Sites[Code],0)))</f>
        <v>964</v>
      </c>
      <c r="M7" s="6" t="e">
        <f>IF(OutflowConstraints[[#This Row],[Stream]]="","",INDEX(Streams[ID],MATCH(OutflowConstraints[[#This Row],[Stream]],Streams[Code],0)))</f>
        <v>#N/A</v>
      </c>
      <c r="N7" s="99">
        <v>1</v>
      </c>
      <c r="O7" s="99">
        <v>50</v>
      </c>
    </row>
    <row r="8" spans="1:15" ht="14.25" customHeight="1">
      <c r="B8" s="95">
        <f>IF(OutflowConstraints[[#This Row],[Active]]=TRUE,1,0)</f>
        <v>1</v>
      </c>
      <c r="C8" s="96" t="b">
        <v>1</v>
      </c>
      <c r="D8" s="98" t="s">
        <v>335</v>
      </c>
      <c r="E8" s="98" t="s">
        <v>336</v>
      </c>
      <c r="F8" t="s">
        <v>387</v>
      </c>
      <c r="G8" s="25" t="s">
        <v>380</v>
      </c>
      <c r="H8" s="96" t="b">
        <v>1</v>
      </c>
      <c r="I8" s="85">
        <v>1</v>
      </c>
      <c r="J8" s="96" t="b">
        <v>1</v>
      </c>
      <c r="K8" s="85">
        <v>1.51</v>
      </c>
      <c r="L8" s="6">
        <f>IF(OutflowConstraints[[#This Row],[Site]]="","",INDEX(Sites[ID],MATCH(OutflowConstraints[[#This Row],[Site]],Sites[Code],0)))</f>
        <v>964</v>
      </c>
      <c r="M8" s="6" t="e">
        <f>IF(OutflowConstraints[[#This Row],[Stream]]="","",INDEX(Streams[ID],MATCH(OutflowConstraints[[#This Row],[Stream]],Streams[Code],0)))</f>
        <v>#N/A</v>
      </c>
      <c r="N8" s="99">
        <v>1</v>
      </c>
      <c r="O8" s="99">
        <v>51</v>
      </c>
    </row>
    <row r="9" spans="1:15">
      <c r="B9" s="95">
        <f>IF(OutflowConstraints[[#This Row],[Active]]=TRUE,1,0)</f>
        <v>1</v>
      </c>
      <c r="C9" s="96" t="b">
        <v>1</v>
      </c>
      <c r="D9" s="98" t="s">
        <v>337</v>
      </c>
      <c r="E9" s="98" t="s">
        <v>305</v>
      </c>
      <c r="F9" t="s">
        <v>387</v>
      </c>
      <c r="G9" s="25" t="s">
        <v>380</v>
      </c>
      <c r="H9" s="96" t="b">
        <v>0</v>
      </c>
      <c r="I9" s="85">
        <v>0</v>
      </c>
      <c r="J9" s="96" t="b">
        <v>1</v>
      </c>
      <c r="K9" s="85">
        <v>120001</v>
      </c>
      <c r="L9" s="6">
        <f>IF(OutflowConstraints[[#This Row],[Site]]="","",INDEX(Sites[ID],MATCH(OutflowConstraints[[#This Row],[Site]],Sites[Code],0)))</f>
        <v>964</v>
      </c>
      <c r="M9" s="6" t="e">
        <f>IF(OutflowConstraints[[#This Row],[Stream]]="","",INDEX(Streams[ID],MATCH(OutflowConstraints[[#This Row],[Stream]],Streams[Code],0)))</f>
        <v>#N/A</v>
      </c>
      <c r="N9" s="99">
        <v>1</v>
      </c>
      <c r="O9" s="99">
        <v>52</v>
      </c>
    </row>
  </sheetData>
  <dataConsolidate/>
  <conditionalFormatting sqref="B5:E9 N5:O9 G5:H9 J5:J9">
    <cfRule type="expression" dxfId="135" priority="23">
      <formula>$C5 = FALSE</formula>
    </cfRule>
  </conditionalFormatting>
  <conditionalFormatting sqref="G5:G9 C5:C9">
    <cfRule type="containsText" dxfId="134" priority="24" operator="containsText" text="TRUE">
      <formula>NOT(ISERROR(SEARCH("TRUE",C5)))</formula>
    </cfRule>
    <cfRule type="containsText" dxfId="133" priority="25" operator="containsText" text="FALSE">
      <formula>NOT(ISERROR(SEARCH("FALSE",C5)))</formula>
    </cfRule>
  </conditionalFormatting>
  <conditionalFormatting sqref="H5:H9">
    <cfRule type="containsText" dxfId="132" priority="12" operator="containsText" text="TRUE">
      <formula>NOT(ISERROR(SEARCH("TRUE",H5)))</formula>
    </cfRule>
    <cfRule type="containsText" dxfId="131" priority="13" operator="containsText" text="FALSE">
      <formula>NOT(ISERROR(SEARCH("FALSE",H5)))</formula>
    </cfRule>
  </conditionalFormatting>
  <conditionalFormatting sqref="J5:J9">
    <cfRule type="containsText" dxfId="130" priority="9" operator="containsText" text="TRUE">
      <formula>NOT(ISERROR(SEARCH("TRUE",J5)))</formula>
    </cfRule>
    <cfRule type="containsText" dxfId="129" priority="10" operator="containsText" text="FALSE">
      <formula>NOT(ISERROR(SEARCH("FALSE",J5)))</formula>
    </cfRule>
  </conditionalFormatting>
  <dataValidations count="4">
    <dataValidation type="list" allowBlank="1" showInputMessage="1" showErrorMessage="1" sqref="C5:C9 J5:J9 H5:H9" xr:uid="{00000000-0002-0000-0A00-000000000000}">
      <formula1>"TRUE, FALSE"</formula1>
    </dataValidation>
    <dataValidation type="list" allowBlank="1" showInputMessage="1" showErrorMessage="1" sqref="E5:E9" xr:uid="{00000000-0002-0000-0A00-000001000000}">
      <formula1>"DENSITY, FLOW, REVENUE, SULFUR, TVP"</formula1>
    </dataValidation>
    <dataValidation type="list" allowBlank="1" showInputMessage="1" showErrorMessage="1" sqref="F5:F9" xr:uid="{00000000-0002-0000-0A00-000002000000}">
      <formula1>INDIRECT("Sites[Code]")</formula1>
    </dataValidation>
    <dataValidation type="list" allowBlank="1" showInputMessage="1" showErrorMessage="1" sqref="G5:G9" xr:uid="{00000000-0002-0000-0A00-000003000000}">
      <formula1>INDIRECT("Streams[Code]")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206"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7" tint="-0.499984740745262"/>
    <pageSetUpPr fitToPage="1"/>
  </sheetPr>
  <dimension ref="A1:AG17"/>
  <sheetViews>
    <sheetView showGridLines="0" topLeftCell="A2" zoomScaleNormal="100" workbookViewId="0">
      <pane xSplit="1" ySplit="3" topLeftCell="Q5" activePane="bottomRight" state="frozen"/>
      <selection activeCell="P16" sqref="P16"/>
      <selection pane="topRight" activeCell="P16" sqref="P16"/>
      <selection pane="bottomLeft" activeCell="P16" sqref="P16"/>
      <selection pane="bottomRight" activeCell="I6" sqref="I6"/>
    </sheetView>
  </sheetViews>
  <sheetFormatPr defaultRowHeight="15"/>
  <cols>
    <col min="1" max="1" width="21.28515625" style="46" customWidth="1"/>
    <col min="2" max="2" width="6.42578125" style="44" customWidth="1"/>
    <col min="3" max="3" width="11.140625" style="45" customWidth="1"/>
    <col min="4" max="4" width="10.140625" style="44" bestFit="1" customWidth="1"/>
    <col min="5" max="5" width="20.140625" style="44" bestFit="1" customWidth="1"/>
    <col min="6" max="6" width="12" style="44" bestFit="1" customWidth="1"/>
    <col min="7" max="7" width="13.42578125" style="44" bestFit="1" customWidth="1"/>
    <col min="8" max="8" width="23.28515625" style="44" customWidth="1"/>
    <col min="9" max="9" width="15.7109375" style="44" customWidth="1"/>
    <col min="10" max="10" width="20.42578125" style="44" customWidth="1"/>
    <col min="11" max="11" width="17.140625" style="44" customWidth="1"/>
    <col min="12" max="12" width="21.140625" style="44" customWidth="1"/>
    <col min="13" max="13" width="12.7109375" style="44" customWidth="1"/>
    <col min="14" max="14" width="18.28515625" style="44" customWidth="1"/>
    <col min="15" max="15" width="18.42578125" style="90" customWidth="1"/>
    <col min="16" max="16" width="16.5703125" style="90" customWidth="1"/>
    <col min="17" max="17" width="21.85546875" style="90" customWidth="1"/>
    <col min="18" max="18" width="18.7109375" style="90" customWidth="1"/>
    <col min="19" max="19" width="14" style="90" customWidth="1"/>
    <col min="20" max="20" width="27.5703125" style="44" customWidth="1"/>
    <col min="21" max="21" width="17.85546875" style="44" customWidth="1"/>
    <col min="22" max="22" width="19.42578125" style="44" customWidth="1"/>
    <col min="23" max="23" width="20.28515625" style="44" customWidth="1"/>
    <col min="24" max="24" width="19" style="44" customWidth="1"/>
    <col min="25" max="25" width="22.5703125" style="44" customWidth="1"/>
    <col min="26" max="26" width="16.42578125" style="44" customWidth="1"/>
    <col min="27" max="27" width="20" style="44" customWidth="1"/>
    <col min="28" max="28" width="15.85546875" style="44" customWidth="1"/>
    <col min="29" max="29" width="7.42578125" style="44" customWidth="1"/>
    <col min="30" max="30" width="14.28515625" style="44" bestFit="1" customWidth="1"/>
    <col min="31" max="31" width="13.42578125" style="44" bestFit="1" customWidth="1"/>
    <col min="32" max="32" width="16.28515625" style="44" bestFit="1" customWidth="1"/>
    <col min="33" max="33" width="3" style="44" bestFit="1" customWidth="1"/>
    <col min="34" max="34" width="15.85546875" style="44" customWidth="1"/>
    <col min="35" max="35" width="7.42578125" style="44" customWidth="1"/>
    <col min="36" max="16384" width="9.140625" style="44"/>
  </cols>
  <sheetData>
    <row r="1" spans="1:33" ht="74.25" hidden="1" customHeight="1">
      <c r="A1" s="43"/>
      <c r="AG1" s="44">
        <v>52</v>
      </c>
    </row>
    <row r="2" spans="1:33" s="48" customFormat="1" ht="29.25" customHeight="1" thickBot="1">
      <c r="A2" s="46"/>
      <c r="B2" s="107" t="s">
        <v>133</v>
      </c>
      <c r="C2" s="107"/>
      <c r="D2" s="107"/>
      <c r="E2" s="107"/>
      <c r="F2" s="107"/>
      <c r="G2" s="107"/>
      <c r="H2" s="107"/>
      <c r="I2" s="47"/>
      <c r="J2" s="47"/>
      <c r="O2" s="91"/>
      <c r="P2" s="91"/>
      <c r="Q2" s="91"/>
      <c r="R2" s="91"/>
      <c r="S2" s="91"/>
    </row>
    <row r="3" spans="1:33" s="49" customFormat="1" ht="9" customHeight="1" thickTop="1">
      <c r="A3" s="46"/>
      <c r="C3" s="50"/>
      <c r="O3" s="50"/>
      <c r="P3" s="50"/>
      <c r="Q3" s="50"/>
      <c r="R3" s="50"/>
      <c r="S3" s="50"/>
    </row>
    <row r="4" spans="1:33" s="53" customFormat="1" ht="15" customHeight="1">
      <c r="A4" s="46"/>
      <c r="B4" s="51" t="s">
        <v>11</v>
      </c>
      <c r="C4" s="52" t="s">
        <v>1</v>
      </c>
      <c r="D4" s="52" t="s">
        <v>0</v>
      </c>
      <c r="E4" s="52" t="s">
        <v>124</v>
      </c>
      <c r="F4" s="52" t="s">
        <v>7</v>
      </c>
      <c r="G4" s="52" t="s">
        <v>20</v>
      </c>
      <c r="H4" s="52" t="s">
        <v>125</v>
      </c>
      <c r="I4" s="69" t="s">
        <v>139</v>
      </c>
      <c r="J4" s="52" t="s">
        <v>126</v>
      </c>
      <c r="K4" s="69" t="s">
        <v>111</v>
      </c>
      <c r="L4" s="52" t="s">
        <v>127</v>
      </c>
      <c r="M4" s="69" t="s">
        <v>140</v>
      </c>
      <c r="N4" s="52" t="s">
        <v>128</v>
      </c>
      <c r="O4" s="52" t="s">
        <v>159</v>
      </c>
      <c r="P4" s="52" t="s">
        <v>129</v>
      </c>
      <c r="Q4" s="52" t="s">
        <v>130</v>
      </c>
      <c r="R4" s="52" t="s">
        <v>131</v>
      </c>
      <c r="S4" s="69" t="s">
        <v>132</v>
      </c>
      <c r="T4" s="69" t="s">
        <v>4</v>
      </c>
      <c r="U4" s="69" t="s">
        <v>309</v>
      </c>
      <c r="V4" s="69" t="s">
        <v>307</v>
      </c>
      <c r="W4" s="69" t="s">
        <v>189</v>
      </c>
      <c r="X4" s="69" t="s">
        <v>310</v>
      </c>
      <c r="Y4" s="69" t="s">
        <v>311</v>
      </c>
      <c r="Z4" s="69" t="s">
        <v>312</v>
      </c>
      <c r="AA4" s="69" t="s">
        <v>313</v>
      </c>
      <c r="AB4" s="52" t="s">
        <v>2</v>
      </c>
      <c r="AC4" s="52" t="s">
        <v>17</v>
      </c>
    </row>
    <row r="5" spans="1:33">
      <c r="A5" s="54"/>
      <c r="B5" s="55">
        <f>IF(Tariff[[#This Row],[Active]]=TRUE,1,0)</f>
        <v>1</v>
      </c>
      <c r="C5" s="56" t="b">
        <v>1</v>
      </c>
      <c r="D5" s="57" t="s">
        <v>436</v>
      </c>
      <c r="E5" s="58" t="s">
        <v>134</v>
      </c>
      <c r="F5" s="58">
        <v>10.48</v>
      </c>
      <c r="G5" s="59" t="s">
        <v>22</v>
      </c>
      <c r="H5" s="56" t="b">
        <v>1</v>
      </c>
      <c r="I5" s="60" t="s">
        <v>135</v>
      </c>
      <c r="J5" s="56" t="b">
        <v>0</v>
      </c>
      <c r="K5" s="56"/>
      <c r="L5" s="56" t="b">
        <v>1</v>
      </c>
      <c r="M5" s="56" t="s">
        <v>158</v>
      </c>
      <c r="N5" s="56" t="b">
        <v>0</v>
      </c>
      <c r="O5" s="55"/>
      <c r="P5" s="55" t="b">
        <v>0</v>
      </c>
      <c r="Q5" s="55"/>
      <c r="R5" s="55" t="s">
        <v>385</v>
      </c>
      <c r="S5" s="55" t="s">
        <v>387</v>
      </c>
      <c r="T5" s="61" t="s">
        <v>411</v>
      </c>
      <c r="U5" s="61">
        <f>IF(Tariff[[#This Row],[Commodity]]="","",INDEX(Commodities[ID],MATCH(Tariff[[#This Row],[Commodity]],Commodities[Code],0)))</f>
        <v>913</v>
      </c>
      <c r="V5" s="61" t="str">
        <f>IF(Tariff[[#This Row],[Material Type]]="","",INDEX(MaterialTypes[ID],MATCH(Tariff[[#This Row],[Material Type]],MaterialTypes[Code],0)))</f>
        <v/>
      </c>
      <c r="W5" s="61">
        <f>IF(Tariff[[#This Row],[Transport Method]]="","",INDEX(TransportMethods[ID],MATCH(Tariff[[#This Row],[Transport Method]],TransportMethods[Code],0)))</f>
        <v>4</v>
      </c>
      <c r="X5" s="61" t="str">
        <f>IF(Tariff[[#This Row],[From Shipper]]="","",INDEX(Shippers[ID],MATCH(Tariff[[#This Row],[From Shipper]],Shippers[Code],0)))</f>
        <v/>
      </c>
      <c r="Y5" s="61" t="str">
        <f>IF(Tariff[[#This Row],[From Shipper Site]]="","",INDEX(Sites[ID],MATCH(Tariff[[#This Row],[From Shipper Site]],Sites[Code],0)))</f>
        <v/>
      </c>
      <c r="Z5" s="61">
        <f>IF(Tariff[[#This Row],[To Shipper]]="","",INDEX(Shippers[ID],MATCH(Tariff[[#This Row],[To Shipper]],Shippers[Code],0)))</f>
        <v>22</v>
      </c>
      <c r="AA5" s="61">
        <f>IF(Tariff[[#This Row],[To Shipper Site]]="","",INDEX(Sites[ID],MATCH(Tariff[[#This Row],[To Shipper Site]],Sites[Code],0)))</f>
        <v>964</v>
      </c>
      <c r="AB5" s="61">
        <v>1</v>
      </c>
      <c r="AC5" s="61">
        <v>115</v>
      </c>
    </row>
    <row r="6" spans="1:33">
      <c r="B6" s="95">
        <f>IF(Tariff[[#This Row],[Active]]=TRUE,1,0)</f>
        <v>1</v>
      </c>
      <c r="C6" s="96" t="b">
        <v>1</v>
      </c>
      <c r="D6" s="97" t="s">
        <v>437</v>
      </c>
      <c r="E6" s="98" t="s">
        <v>318</v>
      </c>
      <c r="F6" s="98">
        <v>-3.794</v>
      </c>
      <c r="G6" s="104" t="s">
        <v>22</v>
      </c>
      <c r="H6" s="100" t="b">
        <v>0</v>
      </c>
      <c r="I6" s="95"/>
      <c r="J6" s="100" t="b">
        <v>0</v>
      </c>
      <c r="K6" s="100"/>
      <c r="L6" s="100" t="b">
        <v>0</v>
      </c>
      <c r="M6" s="100" t="s">
        <v>156</v>
      </c>
      <c r="N6" s="96" t="b">
        <v>0</v>
      </c>
      <c r="O6" s="95"/>
      <c r="P6" s="95" t="b">
        <v>0</v>
      </c>
      <c r="Q6" s="95"/>
      <c r="R6" s="95" t="s">
        <v>385</v>
      </c>
      <c r="S6" s="95" t="s">
        <v>387</v>
      </c>
      <c r="T6" s="99" t="s">
        <v>319</v>
      </c>
      <c r="U6" s="99" t="str">
        <f>IF(Tariff[[#This Row],[Commodity]]="","",INDEX(Commodities[ID],MATCH(Tariff[[#This Row],[Commodity]],Commodities[Code],0)))</f>
        <v/>
      </c>
      <c r="V6" s="99" t="str">
        <f>IF(Tariff[[#This Row],[Material Type]]="","",INDEX(MaterialTypes[ID],MATCH(Tariff[[#This Row],[Material Type]],MaterialTypes[Code],0)))</f>
        <v/>
      </c>
      <c r="W6" s="99">
        <f>IF(Tariff[[#This Row],[Transport Method]]="","",INDEX(TransportMethods[ID],MATCH(Tariff[[#This Row],[Transport Method]],TransportMethods[Code],0)))</f>
        <v>2</v>
      </c>
      <c r="X6" s="99" t="str">
        <f>IF(Tariff[[#This Row],[From Shipper]]="","",INDEX(Shippers[ID],MATCH(Tariff[[#This Row],[From Shipper]],Shippers[Code],0)))</f>
        <v/>
      </c>
      <c r="Y6" s="99" t="str">
        <f>IF(Tariff[[#This Row],[From Shipper Site]]="","",INDEX(Sites[ID],MATCH(Tariff[[#This Row],[From Shipper Site]],Sites[Code],0)))</f>
        <v/>
      </c>
      <c r="Z6" s="99">
        <f>IF(Tariff[[#This Row],[To Shipper]]="","",INDEX(Shippers[ID],MATCH(Tariff[[#This Row],[To Shipper]],Shippers[Code],0)))</f>
        <v>22</v>
      </c>
      <c r="AA6" s="99">
        <f>IF(Tariff[[#This Row],[To Shipper Site]]="","",INDEX(Sites[ID],MATCH(Tariff[[#This Row],[To Shipper Site]],Sites[Code],0)))</f>
        <v>964</v>
      </c>
      <c r="AB6" s="99">
        <v>1</v>
      </c>
      <c r="AC6" s="99">
        <v>116</v>
      </c>
    </row>
    <row r="7" spans="1:33">
      <c r="B7" s="95">
        <f>IF(Tariff[[#This Row],[Active]]=TRUE,1,0)</f>
        <v>1</v>
      </c>
      <c r="C7" s="96" t="b">
        <v>1</v>
      </c>
      <c r="D7" s="97" t="s">
        <v>438</v>
      </c>
      <c r="E7" s="98" t="s">
        <v>318</v>
      </c>
      <c r="F7" s="98">
        <v>-2.25</v>
      </c>
      <c r="G7" s="104" t="s">
        <v>22</v>
      </c>
      <c r="H7" s="100" t="b">
        <v>0</v>
      </c>
      <c r="I7" s="95"/>
      <c r="J7" s="100" t="b">
        <v>0</v>
      </c>
      <c r="K7" s="100"/>
      <c r="L7" s="100" t="b">
        <v>0</v>
      </c>
      <c r="M7" s="100" t="s">
        <v>156</v>
      </c>
      <c r="N7" s="96" t="b">
        <v>0</v>
      </c>
      <c r="O7" s="95"/>
      <c r="P7" s="95" t="b">
        <v>0</v>
      </c>
      <c r="Q7" s="95"/>
      <c r="R7" s="95" t="s">
        <v>385</v>
      </c>
      <c r="S7" s="95" t="s">
        <v>387</v>
      </c>
      <c r="T7" s="99" t="s">
        <v>320</v>
      </c>
      <c r="U7" s="99" t="str">
        <f>IF(Tariff[[#This Row],[Commodity]]="","",INDEX(Commodities[ID],MATCH(Tariff[[#This Row],[Commodity]],Commodities[Code],0)))</f>
        <v/>
      </c>
      <c r="V7" s="99" t="str">
        <f>IF(Tariff[[#This Row],[Material Type]]="","",INDEX(MaterialTypes[ID],MATCH(Tariff[[#This Row],[Material Type]],MaterialTypes[Code],0)))</f>
        <v/>
      </c>
      <c r="W7" s="99">
        <f>IF(Tariff[[#This Row],[Transport Method]]="","",INDEX(TransportMethods[ID],MATCH(Tariff[[#This Row],[Transport Method]],TransportMethods[Code],0)))</f>
        <v>2</v>
      </c>
      <c r="X7" s="99" t="str">
        <f>IF(Tariff[[#This Row],[From Shipper]]="","",INDEX(Shippers[ID],MATCH(Tariff[[#This Row],[From Shipper]],Shippers[Code],0)))</f>
        <v/>
      </c>
      <c r="Y7" s="99" t="str">
        <f>IF(Tariff[[#This Row],[From Shipper Site]]="","",INDEX(Sites[ID],MATCH(Tariff[[#This Row],[From Shipper Site]],Sites[Code],0)))</f>
        <v/>
      </c>
      <c r="Z7" s="99">
        <f>IF(Tariff[[#This Row],[To Shipper]]="","",INDEX(Shippers[ID],MATCH(Tariff[[#This Row],[To Shipper]],Shippers[Code],0)))</f>
        <v>22</v>
      </c>
      <c r="AA7" s="99">
        <f>IF(Tariff[[#This Row],[To Shipper Site]]="","",INDEX(Sites[ID],MATCH(Tariff[[#This Row],[To Shipper Site]],Sites[Code],0)))</f>
        <v>964</v>
      </c>
      <c r="AB7" s="99">
        <v>1</v>
      </c>
      <c r="AC7" s="99">
        <v>117</v>
      </c>
    </row>
    <row r="8" spans="1:33">
      <c r="B8" s="95">
        <f>IF(Tariff[[#This Row],[Active]]=TRUE,1,0)</f>
        <v>1</v>
      </c>
      <c r="C8" s="96" t="b">
        <v>1</v>
      </c>
      <c r="D8" s="97" t="s">
        <v>439</v>
      </c>
      <c r="E8" s="98" t="s">
        <v>321</v>
      </c>
      <c r="F8" s="98">
        <v>-5.0000000000000001E-3</v>
      </c>
      <c r="G8" s="104"/>
      <c r="H8" s="100" t="b">
        <v>0</v>
      </c>
      <c r="I8" s="95"/>
      <c r="J8" s="100" t="b">
        <v>0</v>
      </c>
      <c r="K8" s="100"/>
      <c r="L8" s="100" t="b">
        <v>0</v>
      </c>
      <c r="M8" s="100" t="s">
        <v>156</v>
      </c>
      <c r="N8" s="96" t="b">
        <v>0</v>
      </c>
      <c r="O8" s="95"/>
      <c r="P8" s="95" t="b">
        <v>0</v>
      </c>
      <c r="Q8" s="95"/>
      <c r="R8" s="95" t="s">
        <v>385</v>
      </c>
      <c r="S8" s="95" t="s">
        <v>387</v>
      </c>
      <c r="T8" s="99" t="s">
        <v>322</v>
      </c>
      <c r="U8" s="99" t="str">
        <f>IF(Tariff[[#This Row],[Commodity]]="","",INDEX(Commodities[ID],MATCH(Tariff[[#This Row],[Commodity]],Commodities[Code],0)))</f>
        <v/>
      </c>
      <c r="V8" s="99" t="str">
        <f>IF(Tariff[[#This Row],[Material Type]]="","",INDEX(MaterialTypes[ID],MATCH(Tariff[[#This Row],[Material Type]],MaterialTypes[Code],0)))</f>
        <v/>
      </c>
      <c r="W8" s="99">
        <f>IF(Tariff[[#This Row],[Transport Method]]="","",INDEX(TransportMethods[ID],MATCH(Tariff[[#This Row],[Transport Method]],TransportMethods[Code],0)))</f>
        <v>2</v>
      </c>
      <c r="X8" s="99" t="str">
        <f>IF(Tariff[[#This Row],[From Shipper]]="","",INDEX(Shippers[ID],MATCH(Tariff[[#This Row],[From Shipper]],Shippers[Code],0)))</f>
        <v/>
      </c>
      <c r="Y8" s="99" t="str">
        <f>IF(Tariff[[#This Row],[From Shipper Site]]="","",INDEX(Sites[ID],MATCH(Tariff[[#This Row],[From Shipper Site]],Sites[Code],0)))</f>
        <v/>
      </c>
      <c r="Z8" s="99">
        <f>IF(Tariff[[#This Row],[To Shipper]]="","",INDEX(Shippers[ID],MATCH(Tariff[[#This Row],[To Shipper]],Shippers[Code],0)))</f>
        <v>22</v>
      </c>
      <c r="AA8" s="99">
        <f>IF(Tariff[[#This Row],[To Shipper Site]]="","",INDEX(Sites[ID],MATCH(Tariff[[#This Row],[To Shipper Site]],Sites[Code],0)))</f>
        <v>964</v>
      </c>
      <c r="AB8" s="99">
        <v>1</v>
      </c>
      <c r="AC8" s="99">
        <v>118</v>
      </c>
    </row>
    <row r="9" spans="1:33">
      <c r="B9" s="95">
        <f>IF(Tariff[[#This Row],[Active]]=TRUE,1,0)</f>
        <v>0</v>
      </c>
      <c r="C9" s="96" t="b">
        <v>0</v>
      </c>
      <c r="D9" s="97" t="s">
        <v>440</v>
      </c>
      <c r="E9" s="98" t="s">
        <v>321</v>
      </c>
      <c r="F9" s="98">
        <v>-2.5000000000000001E-3</v>
      </c>
      <c r="G9" s="104" t="s">
        <v>22</v>
      </c>
      <c r="H9" s="100" t="b">
        <v>0</v>
      </c>
      <c r="I9" s="95"/>
      <c r="J9" s="100" t="b">
        <v>0</v>
      </c>
      <c r="K9" s="100"/>
      <c r="L9" s="100" t="b">
        <v>0</v>
      </c>
      <c r="M9" s="100" t="s">
        <v>158</v>
      </c>
      <c r="N9" s="96" t="b">
        <v>0</v>
      </c>
      <c r="O9" s="95"/>
      <c r="P9" s="95" t="b">
        <v>0</v>
      </c>
      <c r="Q9" s="95"/>
      <c r="R9" s="95" t="s">
        <v>385</v>
      </c>
      <c r="S9" s="95" t="s">
        <v>387</v>
      </c>
      <c r="T9" s="99" t="s">
        <v>322</v>
      </c>
      <c r="U9" s="99" t="str">
        <f>IF(Tariff[[#This Row],[Commodity]]="","",INDEX(Commodities[ID],MATCH(Tariff[[#This Row],[Commodity]],Commodities[Code],0)))</f>
        <v/>
      </c>
      <c r="V9" s="99" t="str">
        <f>IF(Tariff[[#This Row],[Material Type]]="","",INDEX(MaterialTypes[ID],MATCH(Tariff[[#This Row],[Material Type]],MaterialTypes[Code],0)))</f>
        <v/>
      </c>
      <c r="W9" s="99">
        <f>IF(Tariff[[#This Row],[Transport Method]]="","",INDEX(TransportMethods[ID],MATCH(Tariff[[#This Row],[Transport Method]],TransportMethods[Code],0)))</f>
        <v>4</v>
      </c>
      <c r="X9" s="99" t="str">
        <f>IF(Tariff[[#This Row],[From Shipper]]="","",INDEX(Shippers[ID],MATCH(Tariff[[#This Row],[From Shipper]],Shippers[Code],0)))</f>
        <v/>
      </c>
      <c r="Y9" s="99" t="str">
        <f>IF(Tariff[[#This Row],[From Shipper Site]]="","",INDEX(Sites[ID],MATCH(Tariff[[#This Row],[From Shipper Site]],Sites[Code],0)))</f>
        <v/>
      </c>
      <c r="Z9" s="99">
        <f>IF(Tariff[[#This Row],[To Shipper]]="","",INDEX(Shippers[ID],MATCH(Tariff[[#This Row],[To Shipper]],Shippers[Code],0)))</f>
        <v>22</v>
      </c>
      <c r="AA9" s="99">
        <f>IF(Tariff[[#This Row],[To Shipper Site]]="","",INDEX(Sites[ID],MATCH(Tariff[[#This Row],[To Shipper Site]],Sites[Code],0)))</f>
        <v>964</v>
      </c>
      <c r="AB9" s="99">
        <v>1</v>
      </c>
      <c r="AC9" s="99">
        <v>119</v>
      </c>
    </row>
    <row r="10" spans="1:33">
      <c r="B10" s="95">
        <f>IF(Tariff[[#This Row],[Active]]=TRUE,1,0)</f>
        <v>1</v>
      </c>
      <c r="C10" s="96" t="b">
        <v>1</v>
      </c>
      <c r="D10" s="97" t="s">
        <v>441</v>
      </c>
      <c r="E10" s="98" t="s">
        <v>134</v>
      </c>
      <c r="F10" s="98">
        <v>46.47</v>
      </c>
      <c r="G10" s="104" t="s">
        <v>22</v>
      </c>
      <c r="H10" s="100" t="b">
        <v>0</v>
      </c>
      <c r="I10" s="95" t="s">
        <v>135</v>
      </c>
      <c r="J10" s="100" t="b">
        <v>0</v>
      </c>
      <c r="K10" s="100"/>
      <c r="L10" s="100" t="b">
        <v>1</v>
      </c>
      <c r="M10" s="100" t="s">
        <v>158</v>
      </c>
      <c r="N10" s="96" t="b">
        <v>0</v>
      </c>
      <c r="O10" s="95"/>
      <c r="P10" s="95" t="b">
        <v>0</v>
      </c>
      <c r="Q10" s="95"/>
      <c r="R10" s="95" t="s">
        <v>385</v>
      </c>
      <c r="S10" s="95" t="s">
        <v>387</v>
      </c>
      <c r="T10" s="99" t="s">
        <v>412</v>
      </c>
      <c r="U10" s="99">
        <f>IF(Tariff[[#This Row],[Commodity]]="","",INDEX(Commodities[ID],MATCH(Tariff[[#This Row],[Commodity]],Commodities[Code],0)))</f>
        <v>913</v>
      </c>
      <c r="V10" s="99" t="str">
        <f>IF(Tariff[[#This Row],[Material Type]]="","",INDEX(MaterialTypes[ID],MATCH(Tariff[[#This Row],[Material Type]],MaterialTypes[Code],0)))</f>
        <v/>
      </c>
      <c r="W10" s="99">
        <f>IF(Tariff[[#This Row],[Transport Method]]="","",INDEX(TransportMethods[ID],MATCH(Tariff[[#This Row],[Transport Method]],TransportMethods[Code],0)))</f>
        <v>4</v>
      </c>
      <c r="X10" s="99" t="str">
        <f>IF(Tariff[[#This Row],[From Shipper]]="","",INDEX(Shippers[ID],MATCH(Tariff[[#This Row],[From Shipper]],Shippers[Code],0)))</f>
        <v/>
      </c>
      <c r="Y10" s="99" t="str">
        <f>IF(Tariff[[#This Row],[From Shipper Site]]="","",INDEX(Sites[ID],MATCH(Tariff[[#This Row],[From Shipper Site]],Sites[Code],0)))</f>
        <v/>
      </c>
      <c r="Z10" s="99">
        <f>IF(Tariff[[#This Row],[To Shipper]]="","",INDEX(Shippers[ID],MATCH(Tariff[[#This Row],[To Shipper]],Shippers[Code],0)))</f>
        <v>22</v>
      </c>
      <c r="AA10" s="99">
        <f>IF(Tariff[[#This Row],[To Shipper Site]]="","",INDEX(Sites[ID],MATCH(Tariff[[#This Row],[To Shipper Site]],Sites[Code],0)))</f>
        <v>964</v>
      </c>
      <c r="AB10" s="99">
        <v>1</v>
      </c>
      <c r="AC10" s="99">
        <v>120</v>
      </c>
    </row>
    <row r="11" spans="1:33">
      <c r="B11" s="95">
        <f>IF(Tariff[[#This Row],[Active]]=TRUE,1,0)</f>
        <v>1</v>
      </c>
      <c r="C11" s="96" t="b">
        <v>1</v>
      </c>
      <c r="D11" s="97" t="s">
        <v>442</v>
      </c>
      <c r="E11" s="98" t="s">
        <v>134</v>
      </c>
      <c r="F11" s="98">
        <v>-10.99</v>
      </c>
      <c r="G11" s="104" t="s">
        <v>22</v>
      </c>
      <c r="H11" s="100" t="b">
        <v>0</v>
      </c>
      <c r="I11" s="95"/>
      <c r="J11" s="100" t="b">
        <v>0</v>
      </c>
      <c r="K11" s="100"/>
      <c r="L11" s="100" t="b">
        <v>0</v>
      </c>
      <c r="M11" s="100" t="s">
        <v>157</v>
      </c>
      <c r="N11" s="96" t="b">
        <v>0</v>
      </c>
      <c r="O11" s="95"/>
      <c r="P11" s="95" t="b">
        <v>0</v>
      </c>
      <c r="Q11" s="95"/>
      <c r="R11" s="95" t="s">
        <v>385</v>
      </c>
      <c r="S11" s="95" t="s">
        <v>387</v>
      </c>
      <c r="T11" s="99" t="s">
        <v>413</v>
      </c>
      <c r="U11" s="99" t="str">
        <f>IF(Tariff[[#This Row],[Commodity]]="","",INDEX(Commodities[ID],MATCH(Tariff[[#This Row],[Commodity]],Commodities[Code],0)))</f>
        <v/>
      </c>
      <c r="V11" s="99" t="str">
        <f>IF(Tariff[[#This Row],[Material Type]]="","",INDEX(MaterialTypes[ID],MATCH(Tariff[[#This Row],[Material Type]],MaterialTypes[Code],0)))</f>
        <v/>
      </c>
      <c r="W11" s="99">
        <f>IF(Tariff[[#This Row],[Transport Method]]="","",INDEX(TransportMethods[ID],MATCH(Tariff[[#This Row],[Transport Method]],TransportMethods[Code],0)))</f>
        <v>3</v>
      </c>
      <c r="X11" s="99" t="str">
        <f>IF(Tariff[[#This Row],[From Shipper]]="","",INDEX(Shippers[ID],MATCH(Tariff[[#This Row],[From Shipper]],Shippers[Code],0)))</f>
        <v/>
      </c>
      <c r="Y11" s="99" t="str">
        <f>IF(Tariff[[#This Row],[From Shipper Site]]="","",INDEX(Sites[ID],MATCH(Tariff[[#This Row],[From Shipper Site]],Sites[Code],0)))</f>
        <v/>
      </c>
      <c r="Z11" s="99">
        <f>IF(Tariff[[#This Row],[To Shipper]]="","",INDEX(Shippers[ID],MATCH(Tariff[[#This Row],[To Shipper]],Shippers[Code],0)))</f>
        <v>22</v>
      </c>
      <c r="AA11" s="99">
        <f>IF(Tariff[[#This Row],[To Shipper Site]]="","",INDEX(Sites[ID],MATCH(Tariff[[#This Row],[To Shipper Site]],Sites[Code],0)))</f>
        <v>964</v>
      </c>
      <c r="AB11" s="99">
        <v>1</v>
      </c>
      <c r="AC11" s="99">
        <v>121</v>
      </c>
    </row>
    <row r="12" spans="1:33">
      <c r="B12" s="95">
        <f>IF(Tariff[[#This Row],[Active]]=TRUE,1,0)</f>
        <v>1</v>
      </c>
      <c r="C12" s="96" t="b">
        <v>1</v>
      </c>
      <c r="D12" s="97" t="s">
        <v>443</v>
      </c>
      <c r="E12" s="98" t="s">
        <v>323</v>
      </c>
      <c r="F12" s="98">
        <v>-3.794</v>
      </c>
      <c r="G12" s="104" t="s">
        <v>22</v>
      </c>
      <c r="H12" s="100" t="b">
        <v>0</v>
      </c>
      <c r="I12" s="95" t="s">
        <v>135</v>
      </c>
      <c r="J12" s="100" t="b">
        <v>0</v>
      </c>
      <c r="K12" s="100"/>
      <c r="L12" s="100" t="b">
        <v>0</v>
      </c>
      <c r="M12" s="100" t="s">
        <v>157</v>
      </c>
      <c r="N12" s="96" t="b">
        <v>0</v>
      </c>
      <c r="O12" s="95"/>
      <c r="P12" s="95" t="b">
        <v>0</v>
      </c>
      <c r="Q12" s="95"/>
      <c r="R12" s="95" t="s">
        <v>385</v>
      </c>
      <c r="S12" s="95" t="s">
        <v>387</v>
      </c>
      <c r="T12" s="99" t="s">
        <v>324</v>
      </c>
      <c r="U12" s="99">
        <f>IF(Tariff[[#This Row],[Commodity]]="","",INDEX(Commodities[ID],MATCH(Tariff[[#This Row],[Commodity]],Commodities[Code],0)))</f>
        <v>913</v>
      </c>
      <c r="V12" s="99" t="str">
        <f>IF(Tariff[[#This Row],[Material Type]]="","",INDEX(MaterialTypes[ID],MATCH(Tariff[[#This Row],[Material Type]],MaterialTypes[Code],0)))</f>
        <v/>
      </c>
      <c r="W12" s="99">
        <f>IF(Tariff[[#This Row],[Transport Method]]="","",INDEX(TransportMethods[ID],MATCH(Tariff[[#This Row],[Transport Method]],TransportMethods[Code],0)))</f>
        <v>3</v>
      </c>
      <c r="X12" s="99" t="str">
        <f>IF(Tariff[[#This Row],[From Shipper]]="","",INDEX(Shippers[ID],MATCH(Tariff[[#This Row],[From Shipper]],Shippers[Code],0)))</f>
        <v/>
      </c>
      <c r="Y12" s="99" t="str">
        <f>IF(Tariff[[#This Row],[From Shipper Site]]="","",INDEX(Sites[ID],MATCH(Tariff[[#This Row],[From Shipper Site]],Sites[Code],0)))</f>
        <v/>
      </c>
      <c r="Z12" s="99">
        <f>IF(Tariff[[#This Row],[To Shipper]]="","",INDEX(Shippers[ID],MATCH(Tariff[[#This Row],[To Shipper]],Shippers[Code],0)))</f>
        <v>22</v>
      </c>
      <c r="AA12" s="99">
        <f>IF(Tariff[[#This Row],[To Shipper Site]]="","",INDEX(Sites[ID],MATCH(Tariff[[#This Row],[To Shipper Site]],Sites[Code],0)))</f>
        <v>964</v>
      </c>
      <c r="AB12" s="99">
        <v>1</v>
      </c>
      <c r="AC12" s="99">
        <v>122</v>
      </c>
    </row>
    <row r="13" spans="1:33">
      <c r="B13" s="95">
        <f>IF(Tariff[[#This Row],[Active]]=TRUE,1,0)</f>
        <v>1</v>
      </c>
      <c r="C13" s="96" t="b">
        <v>1</v>
      </c>
      <c r="D13" s="97" t="s">
        <v>444</v>
      </c>
      <c r="E13" s="98" t="s">
        <v>325</v>
      </c>
      <c r="F13" s="98">
        <v>1.2684538059999999</v>
      </c>
      <c r="G13" s="104" t="s">
        <v>22</v>
      </c>
      <c r="H13" s="100" t="b">
        <v>0</v>
      </c>
      <c r="I13" s="95"/>
      <c r="J13" s="100" t="b">
        <v>0</v>
      </c>
      <c r="K13" s="100"/>
      <c r="L13" s="100" t="b">
        <v>0</v>
      </c>
      <c r="M13" s="100" t="s">
        <v>157</v>
      </c>
      <c r="N13" s="96" t="b">
        <v>0</v>
      </c>
      <c r="O13" s="95"/>
      <c r="P13" s="95" t="b">
        <v>0</v>
      </c>
      <c r="Q13" s="95"/>
      <c r="R13" s="95" t="s">
        <v>385</v>
      </c>
      <c r="S13" s="95" t="s">
        <v>387</v>
      </c>
      <c r="T13" s="99" t="s">
        <v>326</v>
      </c>
      <c r="U13" s="99" t="str">
        <f>IF(Tariff[[#This Row],[Commodity]]="","",INDEX(Commodities[ID],MATCH(Tariff[[#This Row],[Commodity]],Commodities[Code],0)))</f>
        <v/>
      </c>
      <c r="V13" s="99" t="str">
        <f>IF(Tariff[[#This Row],[Material Type]]="","",INDEX(MaterialTypes[ID],MATCH(Tariff[[#This Row],[Material Type]],MaterialTypes[Code],0)))</f>
        <v/>
      </c>
      <c r="W13" s="99">
        <f>IF(Tariff[[#This Row],[Transport Method]]="","",INDEX(TransportMethods[ID],MATCH(Tariff[[#This Row],[Transport Method]],TransportMethods[Code],0)))</f>
        <v>3</v>
      </c>
      <c r="X13" s="99" t="str">
        <f>IF(Tariff[[#This Row],[From Shipper]]="","",INDEX(Shippers[ID],MATCH(Tariff[[#This Row],[From Shipper]],Shippers[Code],0)))</f>
        <v/>
      </c>
      <c r="Y13" s="99" t="str">
        <f>IF(Tariff[[#This Row],[From Shipper Site]]="","",INDEX(Sites[ID],MATCH(Tariff[[#This Row],[From Shipper Site]],Sites[Code],0)))</f>
        <v/>
      </c>
      <c r="Z13" s="99">
        <f>IF(Tariff[[#This Row],[To Shipper]]="","",INDEX(Shippers[ID],MATCH(Tariff[[#This Row],[To Shipper]],Shippers[Code],0)))</f>
        <v>22</v>
      </c>
      <c r="AA13" s="99">
        <f>IF(Tariff[[#This Row],[To Shipper Site]]="","",INDEX(Sites[ID],MATCH(Tariff[[#This Row],[To Shipper Site]],Sites[Code],0)))</f>
        <v>964</v>
      </c>
      <c r="AB13" s="99">
        <v>1</v>
      </c>
      <c r="AC13" s="99">
        <v>123</v>
      </c>
    </row>
    <row r="14" spans="1:33">
      <c r="B14" s="95">
        <f>IF(Tariff[[#This Row],[Active]]=TRUE,1,0)</f>
        <v>1</v>
      </c>
      <c r="C14" s="96" t="b">
        <v>1</v>
      </c>
      <c r="D14" s="97" t="s">
        <v>445</v>
      </c>
      <c r="E14" s="98" t="s">
        <v>327</v>
      </c>
      <c r="F14" s="98">
        <v>-3.794</v>
      </c>
      <c r="G14" s="104" t="s">
        <v>22</v>
      </c>
      <c r="H14" s="100" t="b">
        <v>0</v>
      </c>
      <c r="I14" s="95"/>
      <c r="J14" s="100" t="b">
        <v>0</v>
      </c>
      <c r="K14" s="100"/>
      <c r="L14" s="100" t="b">
        <v>1</v>
      </c>
      <c r="M14" s="100" t="s">
        <v>157</v>
      </c>
      <c r="N14" s="96" t="b">
        <v>0</v>
      </c>
      <c r="O14" s="95"/>
      <c r="P14" s="95" t="b">
        <v>0</v>
      </c>
      <c r="Q14" s="95"/>
      <c r="R14" s="95" t="s">
        <v>385</v>
      </c>
      <c r="S14" s="95" t="s">
        <v>387</v>
      </c>
      <c r="T14" s="99" t="s">
        <v>328</v>
      </c>
      <c r="U14" s="99" t="str">
        <f>IF(Tariff[[#This Row],[Commodity]]="","",INDEX(Commodities[ID],MATCH(Tariff[[#This Row],[Commodity]],Commodities[Code],0)))</f>
        <v/>
      </c>
      <c r="V14" s="99" t="str">
        <f>IF(Tariff[[#This Row],[Material Type]]="","",INDEX(MaterialTypes[ID],MATCH(Tariff[[#This Row],[Material Type]],MaterialTypes[Code],0)))</f>
        <v/>
      </c>
      <c r="W14" s="99">
        <f>IF(Tariff[[#This Row],[Transport Method]]="","",INDEX(TransportMethods[ID],MATCH(Tariff[[#This Row],[Transport Method]],TransportMethods[Code],0)))</f>
        <v>3</v>
      </c>
      <c r="X14" s="99" t="str">
        <f>IF(Tariff[[#This Row],[From Shipper]]="","",INDEX(Shippers[ID],MATCH(Tariff[[#This Row],[From Shipper]],Shippers[Code],0)))</f>
        <v/>
      </c>
      <c r="Y14" s="99" t="str">
        <f>IF(Tariff[[#This Row],[From Shipper Site]]="","",INDEX(Sites[ID],MATCH(Tariff[[#This Row],[From Shipper Site]],Sites[Code],0)))</f>
        <v/>
      </c>
      <c r="Z14" s="99">
        <f>IF(Tariff[[#This Row],[To Shipper]]="","",INDEX(Shippers[ID],MATCH(Tariff[[#This Row],[To Shipper]],Shippers[Code],0)))</f>
        <v>22</v>
      </c>
      <c r="AA14" s="99">
        <f>IF(Tariff[[#This Row],[To Shipper Site]]="","",INDEX(Sites[ID],MATCH(Tariff[[#This Row],[To Shipper Site]],Sites[Code],0)))</f>
        <v>964</v>
      </c>
      <c r="AB14" s="99">
        <v>1</v>
      </c>
      <c r="AC14" s="99">
        <v>124</v>
      </c>
    </row>
    <row r="15" spans="1:33">
      <c r="B15" s="95">
        <f>IF(Tariff[[#This Row],[Active]]=TRUE,1,0)</f>
        <v>1</v>
      </c>
      <c r="C15" s="96" t="b">
        <v>1</v>
      </c>
      <c r="D15" s="97" t="s">
        <v>446</v>
      </c>
      <c r="E15" s="98" t="s">
        <v>325</v>
      </c>
      <c r="F15" s="98">
        <v>-0.11</v>
      </c>
      <c r="G15" s="104" t="s">
        <v>22</v>
      </c>
      <c r="H15" s="100" t="b">
        <v>1</v>
      </c>
      <c r="I15" s="95" t="s">
        <v>135</v>
      </c>
      <c r="J15" s="100" t="b">
        <v>0</v>
      </c>
      <c r="K15" s="100"/>
      <c r="L15" s="100" t="b">
        <v>0</v>
      </c>
      <c r="M15" s="100" t="s">
        <v>157</v>
      </c>
      <c r="N15" s="96" t="b">
        <v>0</v>
      </c>
      <c r="O15" s="95"/>
      <c r="P15" s="95" t="b">
        <v>0</v>
      </c>
      <c r="Q15" s="95"/>
      <c r="R15" s="95" t="s">
        <v>385</v>
      </c>
      <c r="S15" s="95" t="s">
        <v>387</v>
      </c>
      <c r="T15" s="99" t="s">
        <v>329</v>
      </c>
      <c r="U15" s="99">
        <f>IF(Tariff[[#This Row],[Commodity]]="","",INDEX(Commodities[ID],MATCH(Tariff[[#This Row],[Commodity]],Commodities[Code],0)))</f>
        <v>913</v>
      </c>
      <c r="V15" s="99" t="str">
        <f>IF(Tariff[[#This Row],[Material Type]]="","",INDEX(MaterialTypes[ID],MATCH(Tariff[[#This Row],[Material Type]],MaterialTypes[Code],0)))</f>
        <v/>
      </c>
      <c r="W15" s="99">
        <f>IF(Tariff[[#This Row],[Transport Method]]="","",INDEX(TransportMethods[ID],MATCH(Tariff[[#This Row],[Transport Method]],TransportMethods[Code],0)))</f>
        <v>3</v>
      </c>
      <c r="X15" s="99" t="str">
        <f>IF(Tariff[[#This Row],[From Shipper]]="","",INDEX(Shippers[ID],MATCH(Tariff[[#This Row],[From Shipper]],Shippers[Code],0)))</f>
        <v/>
      </c>
      <c r="Y15" s="99" t="str">
        <f>IF(Tariff[[#This Row],[From Shipper Site]]="","",INDEX(Sites[ID],MATCH(Tariff[[#This Row],[From Shipper Site]],Sites[Code],0)))</f>
        <v/>
      </c>
      <c r="Z15" s="99">
        <f>IF(Tariff[[#This Row],[To Shipper]]="","",INDEX(Shippers[ID],MATCH(Tariff[[#This Row],[To Shipper]],Shippers[Code],0)))</f>
        <v>22</v>
      </c>
      <c r="AA15" s="99">
        <f>IF(Tariff[[#This Row],[To Shipper Site]]="","",INDEX(Sites[ID],MATCH(Tariff[[#This Row],[To Shipper Site]],Sites[Code],0)))</f>
        <v>964</v>
      </c>
      <c r="AB15" s="99">
        <v>1</v>
      </c>
      <c r="AC15" s="99">
        <v>125</v>
      </c>
    </row>
    <row r="16" spans="1:33">
      <c r="B16" s="95">
        <f>IF(Tariff[[#This Row],[Active]]=TRUE,1,0)</f>
        <v>1</v>
      </c>
      <c r="C16" s="96" t="b">
        <v>1</v>
      </c>
      <c r="D16" s="97" t="s">
        <v>447</v>
      </c>
      <c r="E16" s="98" t="s">
        <v>323</v>
      </c>
      <c r="F16" s="98">
        <v>-4.4429999999999996</v>
      </c>
      <c r="G16" s="104" t="s">
        <v>22</v>
      </c>
      <c r="H16" s="100" t="b">
        <v>0</v>
      </c>
      <c r="I16" s="95"/>
      <c r="J16" s="100" t="b">
        <v>0</v>
      </c>
      <c r="K16" s="100"/>
      <c r="L16" s="100" t="b">
        <v>0</v>
      </c>
      <c r="M16" s="100" t="s">
        <v>157</v>
      </c>
      <c r="N16" s="96" t="b">
        <v>0</v>
      </c>
      <c r="O16" s="95" t="s">
        <v>385</v>
      </c>
      <c r="P16" s="95" t="b">
        <v>0</v>
      </c>
      <c r="Q16" s="95" t="s">
        <v>387</v>
      </c>
      <c r="R16" s="95"/>
      <c r="S16" s="95"/>
      <c r="T16" s="99" t="s">
        <v>414</v>
      </c>
      <c r="U16" s="99" t="str">
        <f>IF(Tariff[[#This Row],[Commodity]]="","",INDEX(Commodities[ID],MATCH(Tariff[[#This Row],[Commodity]],Commodities[Code],0)))</f>
        <v/>
      </c>
      <c r="V16" s="99" t="str">
        <f>IF(Tariff[[#This Row],[Material Type]]="","",INDEX(MaterialTypes[ID],MATCH(Tariff[[#This Row],[Material Type]],MaterialTypes[Code],0)))</f>
        <v/>
      </c>
      <c r="W16" s="99">
        <f>IF(Tariff[[#This Row],[Transport Method]]="","",INDEX(TransportMethods[ID],MATCH(Tariff[[#This Row],[Transport Method]],TransportMethods[Code],0)))</f>
        <v>3</v>
      </c>
      <c r="X16" s="99">
        <f>IF(Tariff[[#This Row],[From Shipper]]="","",INDEX(Shippers[ID],MATCH(Tariff[[#This Row],[From Shipper]],Shippers[Code],0)))</f>
        <v>22</v>
      </c>
      <c r="Y16" s="99">
        <f>IF(Tariff[[#This Row],[From Shipper Site]]="","",INDEX(Sites[ID],MATCH(Tariff[[#This Row],[From Shipper Site]],Sites[Code],0)))</f>
        <v>964</v>
      </c>
      <c r="Z16" s="99" t="str">
        <f>IF(Tariff[[#This Row],[To Shipper]]="","",INDEX(Shippers[ID],MATCH(Tariff[[#This Row],[To Shipper]],Shippers[Code],0)))</f>
        <v/>
      </c>
      <c r="AA16" s="99" t="str">
        <f>IF(Tariff[[#This Row],[To Shipper Site]]="","",INDEX(Sites[ID],MATCH(Tariff[[#This Row],[To Shipper Site]],Sites[Code],0)))</f>
        <v/>
      </c>
      <c r="AB16" s="99">
        <v>1</v>
      </c>
      <c r="AC16" s="99">
        <v>126</v>
      </c>
    </row>
    <row r="17" spans="2:29">
      <c r="B17" s="95">
        <f>IF(Tariff[[#This Row],[Active]]=TRUE,1,0)</f>
        <v>1</v>
      </c>
      <c r="C17" s="96" t="b">
        <v>1</v>
      </c>
      <c r="D17" s="97" t="s">
        <v>448</v>
      </c>
      <c r="E17" s="98" t="s">
        <v>134</v>
      </c>
      <c r="F17" s="98">
        <v>10.48</v>
      </c>
      <c r="G17" s="104" t="s">
        <v>22</v>
      </c>
      <c r="H17" s="100" t="b">
        <v>0</v>
      </c>
      <c r="I17" s="95"/>
      <c r="J17" s="100" t="b">
        <v>0</v>
      </c>
      <c r="K17" s="100"/>
      <c r="L17" s="100" t="b">
        <v>0</v>
      </c>
      <c r="M17" s="100" t="s">
        <v>157</v>
      </c>
      <c r="N17" s="96" t="b">
        <v>0</v>
      </c>
      <c r="O17" s="95" t="s">
        <v>385</v>
      </c>
      <c r="P17" s="95" t="b">
        <v>0</v>
      </c>
      <c r="Q17" s="95" t="s">
        <v>387</v>
      </c>
      <c r="R17" s="95"/>
      <c r="S17" s="95"/>
      <c r="T17" s="99" t="s">
        <v>330</v>
      </c>
      <c r="U17" s="99" t="str">
        <f>IF(Tariff[[#This Row],[Commodity]]="","",INDEX(Commodities[ID],MATCH(Tariff[[#This Row],[Commodity]],Commodities[Code],0)))</f>
        <v/>
      </c>
      <c r="V17" s="99" t="str">
        <f>IF(Tariff[[#This Row],[Material Type]]="","",INDEX(MaterialTypes[ID],MATCH(Tariff[[#This Row],[Material Type]],MaterialTypes[Code],0)))</f>
        <v/>
      </c>
      <c r="W17" s="99">
        <f>IF(Tariff[[#This Row],[Transport Method]]="","",INDEX(TransportMethods[ID],MATCH(Tariff[[#This Row],[Transport Method]],TransportMethods[Code],0)))</f>
        <v>3</v>
      </c>
      <c r="X17" s="99">
        <f>IF(Tariff[[#This Row],[From Shipper]]="","",INDEX(Shippers[ID],MATCH(Tariff[[#This Row],[From Shipper]],Shippers[Code],0)))</f>
        <v>22</v>
      </c>
      <c r="Y17" s="99">
        <f>IF(Tariff[[#This Row],[From Shipper Site]]="","",INDEX(Sites[ID],MATCH(Tariff[[#This Row],[From Shipper Site]],Sites[Code],0)))</f>
        <v>964</v>
      </c>
      <c r="Z17" s="99" t="str">
        <f>IF(Tariff[[#This Row],[To Shipper]]="","",INDEX(Shippers[ID],MATCH(Tariff[[#This Row],[To Shipper]],Shippers[Code],0)))</f>
        <v/>
      </c>
      <c r="AA17" s="99" t="str">
        <f>IF(Tariff[[#This Row],[To Shipper Site]]="","",INDEX(Sites[ID],MATCH(Tariff[[#This Row],[To Shipper Site]],Sites[Code],0)))</f>
        <v/>
      </c>
      <c r="AB17" s="99">
        <v>1</v>
      </c>
      <c r="AC17" s="99">
        <v>127</v>
      </c>
    </row>
  </sheetData>
  <dataConsolidate/>
  <mergeCells count="1">
    <mergeCell ref="B2:H2"/>
  </mergeCells>
  <conditionalFormatting sqref="B5:AC17">
    <cfRule type="expression" dxfId="111" priority="9">
      <formula>$C5 = FALSE</formula>
    </cfRule>
  </conditionalFormatting>
  <conditionalFormatting sqref="C5:C17 N5:N17">
    <cfRule type="containsText" dxfId="110" priority="10" operator="containsText" text="TRUE">
      <formula>NOT(ISERROR(SEARCH("TRUE",C5)))</formula>
    </cfRule>
    <cfRule type="containsText" dxfId="109" priority="11" operator="containsText" text="FALSE">
      <formula>NOT(ISERROR(SEARCH("FALSE",C5)))</formula>
    </cfRule>
  </conditionalFormatting>
  <conditionalFormatting sqref="H5:H17">
    <cfRule type="containsText" dxfId="108" priority="7" operator="containsText" text="TRUE">
      <formula>NOT(ISERROR(SEARCH("TRUE",H5)))</formula>
    </cfRule>
    <cfRule type="containsText" dxfId="107" priority="8" operator="containsText" text="FALSE">
      <formula>NOT(ISERROR(SEARCH("FALSE",H5)))</formula>
    </cfRule>
  </conditionalFormatting>
  <conditionalFormatting sqref="J5:J17">
    <cfRule type="containsText" dxfId="106" priority="5" operator="containsText" text="TRUE">
      <formula>NOT(ISERROR(SEARCH("TRUE",J5)))</formula>
    </cfRule>
    <cfRule type="containsText" dxfId="105" priority="6" operator="containsText" text="FALSE">
      <formula>NOT(ISERROR(SEARCH("FALSE",J5)))</formula>
    </cfRule>
  </conditionalFormatting>
  <conditionalFormatting sqref="K5:K17">
    <cfRule type="containsText" dxfId="104" priority="3" operator="containsText" text="TRUE">
      <formula>NOT(ISERROR(SEARCH("TRUE",K5)))</formula>
    </cfRule>
    <cfRule type="containsText" dxfId="103" priority="4" operator="containsText" text="FALSE">
      <formula>NOT(ISERROR(SEARCH("FALSE",K5)))</formula>
    </cfRule>
  </conditionalFormatting>
  <conditionalFormatting sqref="L5:M17">
    <cfRule type="containsText" dxfId="102" priority="1" operator="containsText" text="TRUE">
      <formula>NOT(ISERROR(SEARCH("TRUE",L5)))</formula>
    </cfRule>
    <cfRule type="containsText" dxfId="101" priority="2" operator="containsText" text="FALSE">
      <formula>NOT(ISERROR(SEARCH("FALSE",L5)))</formula>
    </cfRule>
  </conditionalFormatting>
  <dataValidations count="8">
    <dataValidation type="list" allowBlank="1" showInputMessage="1" showErrorMessage="1" sqref="C5:C17 H5:H17 L5:L17 N5:N17 P5:P17 J5:J17" xr:uid="{00000000-0002-0000-0B00-000000000000}">
      <formula1>"TRUE, FALSE"</formula1>
    </dataValidation>
    <dataValidation type="list" allowBlank="1" showInputMessage="1" showErrorMessage="1" sqref="E5:E17" xr:uid="{00000000-0002-0000-0B00-000001000000}">
      <formula1>"ALLOWANCE, COST_ADJUSTMENTS, SALES_ADJUSTMENTS, TARIFF, TOLL, WADF"</formula1>
    </dataValidation>
    <dataValidation type="list" allowBlank="1" showInputMessage="1" showErrorMessage="1" sqref="G5:G17" xr:uid="{00000000-0002-0000-0B00-000002000000}">
      <formula1>"CAN, USD"</formula1>
    </dataValidation>
    <dataValidation type="list" allowBlank="1" showInputMessage="1" showErrorMessage="1" sqref="I5:I17" xr:uid="{00000000-0002-0000-0B00-000003000000}">
      <formula1>INDIRECT("Commodities[Code]")</formula1>
    </dataValidation>
    <dataValidation type="list" allowBlank="1" showInputMessage="1" showErrorMessage="1" sqref="K5:K17" xr:uid="{00000000-0002-0000-0B00-000004000000}">
      <formula1>INDIRECT("MaterialTypes[Code]")</formula1>
    </dataValidation>
    <dataValidation type="list" allowBlank="1" showInputMessage="1" showErrorMessage="1" sqref="M5:M17" xr:uid="{00000000-0002-0000-0B00-000005000000}">
      <formula1>INDIRECT("TransportMethods[Code]")</formula1>
    </dataValidation>
    <dataValidation type="list" allowBlank="1" showInputMessage="1" showErrorMessage="1" sqref="O5:O17 R5:R17" xr:uid="{00000000-0002-0000-0B00-000006000000}">
      <formula1>INDIRECT("Shippers[Code]")</formula1>
    </dataValidation>
    <dataValidation type="list" allowBlank="1" showInputMessage="1" showErrorMessage="1" sqref="Q5:Q17 S5:S17" xr:uid="{00000000-0002-0000-0B00-000007000000}">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201"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7" tint="-0.499984740745262"/>
    <pageSetUpPr fitToPage="1"/>
  </sheetPr>
  <dimension ref="A1:M8"/>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K6" sqref="K6"/>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2.5703125" bestFit="1" customWidth="1"/>
    <col min="6" max="6" width="19.5703125" bestFit="1" customWidth="1"/>
    <col min="7" max="7" width="19.28515625" style="85" bestFit="1" customWidth="1"/>
    <col min="8" max="8" width="22.42578125" style="85" bestFit="1" customWidth="1"/>
    <col min="9" max="9" width="19.5703125" style="85" bestFit="1" customWidth="1"/>
    <col min="10" max="10" width="22.7109375" style="85" bestFit="1" customWidth="1"/>
    <col min="11" max="11" width="22.7109375" hidden="1" customWidth="1"/>
    <col min="12" max="12" width="15.85546875" hidden="1" customWidth="1"/>
    <col min="13" max="13" width="7.42578125" hidden="1" customWidth="1"/>
  </cols>
  <sheetData>
    <row r="1" spans="1:13" ht="74.25" hidden="1" customHeight="1">
      <c r="A1" s="16"/>
    </row>
    <row r="2" spans="1:13" s="5" customFormat="1" ht="29.25" customHeight="1" thickBot="1">
      <c r="A2" s="22"/>
      <c r="B2" s="63" t="s">
        <v>373</v>
      </c>
      <c r="C2" s="63"/>
      <c r="D2" s="63"/>
      <c r="E2" s="24"/>
      <c r="G2" s="92"/>
      <c r="H2" s="92"/>
      <c r="I2" s="92"/>
      <c r="J2" s="92"/>
    </row>
    <row r="3" spans="1:13" s="4" customFormat="1" ht="9" customHeight="1" thickTop="1">
      <c r="A3" s="22"/>
      <c r="C3" s="21"/>
      <c r="G3" s="21"/>
      <c r="H3" s="21"/>
      <c r="I3" s="21"/>
      <c r="J3" s="21"/>
    </row>
    <row r="4" spans="1:13" s="13" customFormat="1" ht="15" customHeight="1">
      <c r="A4" s="22"/>
      <c r="B4" s="20" t="s">
        <v>11</v>
      </c>
      <c r="C4" s="19" t="s">
        <v>1</v>
      </c>
      <c r="D4" s="19" t="s">
        <v>0</v>
      </c>
      <c r="E4" s="19" t="s">
        <v>138</v>
      </c>
      <c r="F4" s="19" t="s">
        <v>161</v>
      </c>
      <c r="G4" s="19" t="s">
        <v>163</v>
      </c>
      <c r="H4" s="19" t="s">
        <v>164</v>
      </c>
      <c r="I4" s="19" t="s">
        <v>165</v>
      </c>
      <c r="J4" s="19" t="s">
        <v>166</v>
      </c>
      <c r="K4" s="69" t="s">
        <v>186</v>
      </c>
      <c r="L4" s="19" t="s">
        <v>2</v>
      </c>
      <c r="M4" s="19" t="s">
        <v>17</v>
      </c>
    </row>
    <row r="5" spans="1:13">
      <c r="A5" s="23"/>
      <c r="B5" s="26">
        <f>IF(TotalInflowConstraints[[#This Row],[Active]]=TRUE,1,0)</f>
        <v>0</v>
      </c>
      <c r="C5" s="27" t="b">
        <v>0</v>
      </c>
      <c r="D5" t="s">
        <v>306</v>
      </c>
      <c r="E5" t="s">
        <v>387</v>
      </c>
      <c r="F5" t="s">
        <v>305</v>
      </c>
      <c r="G5" s="27" t="b">
        <v>0</v>
      </c>
      <c r="H5" s="85">
        <v>0</v>
      </c>
      <c r="I5" s="27" t="b">
        <v>1</v>
      </c>
      <c r="J5" s="85">
        <v>106000</v>
      </c>
      <c r="K5">
        <f>IF(TotalInflowConstraints[[#This Row],[Site]]="","",INDEX(Sites[ID],MATCH(TotalInflowConstraints[[#This Row],[Site]],Sites[Code],0)))</f>
        <v>964</v>
      </c>
      <c r="L5" s="32">
        <v>1</v>
      </c>
      <c r="M5" s="32">
        <v>2</v>
      </c>
    </row>
    <row r="8" spans="1:13" ht="14.25" customHeight="1"/>
  </sheetData>
  <dataConsolidate/>
  <conditionalFormatting sqref="B5:C5 L5:M5 G5 I5">
    <cfRule type="expression" dxfId="68" priority="7">
      <formula>$C5 = FALSE</formula>
    </cfRule>
  </conditionalFormatting>
  <conditionalFormatting sqref="C5">
    <cfRule type="containsText" dxfId="67" priority="8" operator="containsText" text="TRUE">
      <formula>NOT(ISERROR(SEARCH("TRUE",C5)))</formula>
    </cfRule>
    <cfRule type="containsText" dxfId="66" priority="9" operator="containsText" text="FALSE">
      <formula>NOT(ISERROR(SEARCH("FALSE",C5)))</formula>
    </cfRule>
  </conditionalFormatting>
  <conditionalFormatting sqref="G5">
    <cfRule type="containsText" dxfId="65" priority="5" operator="containsText" text="TRUE">
      <formula>NOT(ISERROR(SEARCH("TRUE",G5)))</formula>
    </cfRule>
    <cfRule type="containsText" dxfId="64" priority="6" operator="containsText" text="FALSE">
      <formula>NOT(ISERROR(SEARCH("FALSE",G5)))</formula>
    </cfRule>
  </conditionalFormatting>
  <conditionalFormatting sqref="I5">
    <cfRule type="containsText" dxfId="63" priority="2" operator="containsText" text="TRUE">
      <formula>NOT(ISERROR(SEARCH("TRUE",I5)))</formula>
    </cfRule>
    <cfRule type="containsText" dxfId="62" priority="3" operator="containsText" text="FALSE">
      <formula>NOT(ISERROR(SEARCH("FALSE",I5)))</formula>
    </cfRule>
  </conditionalFormatting>
  <dataValidations count="3">
    <dataValidation type="list" allowBlank="1" showInputMessage="1" showErrorMessage="1" sqref="C5 I5 G5" xr:uid="{00000000-0002-0000-0C00-000000000000}">
      <formula1>"TRUE, FALSE"</formula1>
    </dataValidation>
    <dataValidation type="list" allowBlank="1" showInputMessage="1" showErrorMessage="1" sqref="F5" xr:uid="{00000000-0002-0000-0C00-000001000000}">
      <formula1>"FLOW, DENSITY, SULFUR, REVENUE, TVP"</formula1>
    </dataValidation>
    <dataValidation type="list" allowBlank="1" showInputMessage="1" showErrorMessage="1" sqref="E5" xr:uid="{00000000-0002-0000-0C00-000002000000}">
      <formula1>INDIRECT("Sites[Code]")</formula1>
    </dataValidation>
  </dataValidations>
  <pageMargins left="0.7" right="0.7" top="0.75" bottom="0.75" header="0.3" footer="0.3"/>
  <pageSetup scale="6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7707"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7" tint="-0.499984740745262"/>
    <pageSetUpPr fitToPage="1"/>
  </sheetPr>
  <dimension ref="A1:AB5"/>
  <sheetViews>
    <sheetView showGridLines="0" topLeftCell="A2" zoomScale="85" zoomScaleNormal="85" workbookViewId="0">
      <pane xSplit="1" ySplit="3" topLeftCell="C5" activePane="bottomRight" state="frozen"/>
      <selection activeCell="P16" sqref="P16"/>
      <selection pane="topRight" activeCell="P16" sqref="P16"/>
      <selection pane="bottomLeft" activeCell="P16" sqref="P16"/>
      <selection pane="bottomRight" activeCell="Q8" sqref="Q8"/>
    </sheetView>
  </sheetViews>
  <sheetFormatPr defaultRowHeight="15"/>
  <cols>
    <col min="1" max="1" width="21.28515625" style="22" customWidth="1"/>
    <col min="2" max="2" width="6.42578125" customWidth="1"/>
    <col min="3" max="3" width="11.140625" style="15" customWidth="1"/>
    <col min="4" max="4" width="10.140625" customWidth="1"/>
    <col min="5" max="5" width="21.28515625" style="85" bestFit="1" customWidth="1"/>
    <col min="6" max="6" width="19.85546875" style="85" bestFit="1" customWidth="1"/>
    <col min="7" max="7" width="17.42578125" style="85" bestFit="1" customWidth="1"/>
    <col min="8" max="8" width="16.28515625" style="85" bestFit="1" customWidth="1"/>
    <col min="9" max="9" width="14" style="85" bestFit="1" customWidth="1"/>
    <col min="10" max="10" width="29.28515625" style="85" bestFit="1" customWidth="1"/>
    <col min="11" max="11" width="21.85546875" style="85" bestFit="1" customWidth="1"/>
    <col min="12" max="12" width="25.42578125" style="85" bestFit="1" customWidth="1"/>
    <col min="13" max="13" width="18" style="85" bestFit="1" customWidth="1"/>
    <col min="14" max="14" width="23.42578125" style="85" bestFit="1" customWidth="1"/>
    <col min="15" max="15" width="15.85546875" style="85" bestFit="1" customWidth="1"/>
    <col min="16" max="16" width="15" style="85" bestFit="1" customWidth="1"/>
    <col min="17" max="17" width="11.5703125" style="85" bestFit="1" customWidth="1"/>
    <col min="18" max="18" width="18.7109375" style="85" customWidth="1"/>
    <col min="19" max="26" width="15.85546875" style="85" hidden="1" customWidth="1"/>
    <col min="27" max="28" width="7.42578125" hidden="1" customWidth="1"/>
  </cols>
  <sheetData>
    <row r="1" spans="1:28" ht="74.25" hidden="1" customHeight="1">
      <c r="A1" s="16"/>
      <c r="R1" s="85">
        <v>52</v>
      </c>
    </row>
    <row r="2" spans="1:28" s="5" customFormat="1" ht="29.25" customHeight="1" thickBot="1">
      <c r="A2" s="22"/>
      <c r="B2" s="106" t="s">
        <v>374</v>
      </c>
      <c r="C2" s="106"/>
      <c r="D2" s="106"/>
      <c r="E2" s="106"/>
      <c r="F2" s="106"/>
      <c r="G2" s="106"/>
      <c r="H2" s="106"/>
      <c r="I2" s="106"/>
      <c r="J2" s="106"/>
      <c r="K2" s="93"/>
      <c r="L2" s="92"/>
      <c r="M2" s="92"/>
      <c r="N2" s="92"/>
      <c r="O2" s="92"/>
      <c r="P2" s="92"/>
      <c r="Q2" s="92"/>
      <c r="R2" s="92"/>
      <c r="S2" s="92"/>
      <c r="T2" s="92"/>
      <c r="U2" s="92"/>
      <c r="V2" s="92"/>
      <c r="W2" s="92"/>
      <c r="X2" s="92"/>
      <c r="Y2" s="92"/>
      <c r="Z2" s="92"/>
    </row>
    <row r="3" spans="1:28" s="4" customFormat="1" ht="9" customHeight="1" thickTop="1">
      <c r="A3" s="22"/>
      <c r="C3" s="21"/>
      <c r="E3" s="21"/>
      <c r="F3" s="21"/>
      <c r="G3" s="21"/>
      <c r="H3" s="21"/>
      <c r="I3" s="21"/>
      <c r="J3" s="21"/>
      <c r="K3" s="21"/>
      <c r="L3" s="21"/>
      <c r="M3" s="21"/>
      <c r="N3" s="21"/>
      <c r="O3" s="21"/>
      <c r="P3" s="21"/>
      <c r="Q3" s="21"/>
      <c r="R3" s="21"/>
      <c r="S3" s="21"/>
      <c r="T3" s="21"/>
      <c r="U3" s="21"/>
      <c r="V3" s="21"/>
      <c r="W3" s="21"/>
      <c r="X3" s="21"/>
      <c r="Y3" s="21"/>
      <c r="Z3" s="21"/>
    </row>
    <row r="4" spans="1:28" s="13" customFormat="1" ht="15" customHeight="1">
      <c r="A4" s="22"/>
      <c r="B4" s="20" t="s">
        <v>11</v>
      </c>
      <c r="C4" s="19" t="s">
        <v>1</v>
      </c>
      <c r="D4" s="19" t="s">
        <v>0</v>
      </c>
      <c r="E4" s="19" t="s">
        <v>317</v>
      </c>
      <c r="F4" s="19" t="s">
        <v>207</v>
      </c>
      <c r="G4" s="19" t="s">
        <v>159</v>
      </c>
      <c r="H4" s="19" t="s">
        <v>208</v>
      </c>
      <c r="I4" s="19" t="s">
        <v>209</v>
      </c>
      <c r="J4" s="19" t="s">
        <v>210</v>
      </c>
      <c r="K4" s="19" t="s">
        <v>140</v>
      </c>
      <c r="L4" s="19" t="s">
        <v>211</v>
      </c>
      <c r="M4" s="19" t="s">
        <v>111</v>
      </c>
      <c r="N4" s="19" t="s">
        <v>212</v>
      </c>
      <c r="O4" s="19" t="s">
        <v>139</v>
      </c>
      <c r="P4" s="19" t="s">
        <v>131</v>
      </c>
      <c r="Q4" s="19" t="s">
        <v>213</v>
      </c>
      <c r="R4" s="19" t="s">
        <v>214</v>
      </c>
      <c r="S4" s="19" t="s">
        <v>310</v>
      </c>
      <c r="T4" s="19" t="s">
        <v>375</v>
      </c>
      <c r="U4" s="19" t="s">
        <v>376</v>
      </c>
      <c r="V4" s="19" t="s">
        <v>307</v>
      </c>
      <c r="W4" s="19" t="s">
        <v>309</v>
      </c>
      <c r="X4" s="19" t="s">
        <v>312</v>
      </c>
      <c r="Y4" s="19" t="s">
        <v>377</v>
      </c>
      <c r="Z4" s="19" t="s">
        <v>378</v>
      </c>
      <c r="AA4" s="19" t="s">
        <v>2</v>
      </c>
      <c r="AB4" s="19" t="s">
        <v>17</v>
      </c>
    </row>
    <row r="5" spans="1:28">
      <c r="A5" s="23"/>
      <c r="B5" s="26"/>
      <c r="C5" s="27"/>
      <c r="D5" s="25"/>
      <c r="E5" s="27"/>
      <c r="F5" s="27"/>
      <c r="G5" s="25"/>
      <c r="H5" s="27"/>
      <c r="I5" s="33"/>
      <c r="J5" s="27"/>
      <c r="K5" s="26"/>
      <c r="L5" s="27"/>
      <c r="M5" s="25"/>
      <c r="N5"/>
      <c r="O5" s="36"/>
      <c r="P5" s="36"/>
      <c r="Q5" s="36"/>
      <c r="R5" s="36"/>
      <c r="S5"/>
      <c r="T5"/>
      <c r="U5"/>
      <c r="V5"/>
      <c r="W5"/>
      <c r="X5"/>
      <c r="Y5"/>
      <c r="Z5"/>
      <c r="AA5" s="36"/>
      <c r="AB5" s="66"/>
    </row>
  </sheetData>
  <dataConsolidate/>
  <mergeCells count="1">
    <mergeCell ref="B2:J2"/>
  </mergeCells>
  <conditionalFormatting sqref="B5:R5">
    <cfRule type="expression" dxfId="46" priority="14">
      <formula>$C5 = FALSE</formula>
    </cfRule>
  </conditionalFormatting>
  <conditionalFormatting sqref="C5">
    <cfRule type="containsText" dxfId="45" priority="15" operator="containsText" text="TRUE">
      <formula>NOT(ISERROR(SEARCH("TRUE",C5)))</formula>
    </cfRule>
    <cfRule type="containsText" dxfId="44" priority="16" operator="containsText" text="FALSE">
      <formula>NOT(ISERROR(SEARCH("FALSE",C5)))</formula>
    </cfRule>
  </conditionalFormatting>
  <conditionalFormatting sqref="E5">
    <cfRule type="containsText" dxfId="43" priority="12" operator="containsText" text="TRUE">
      <formula>NOT(ISERROR(SEARCH("TRUE",E5)))</formula>
    </cfRule>
    <cfRule type="containsText" dxfId="42" priority="13" operator="containsText" text="FALSE">
      <formula>NOT(ISERROR(SEARCH("FALSE",E5)))</formula>
    </cfRule>
  </conditionalFormatting>
  <conditionalFormatting sqref="F5">
    <cfRule type="containsText" dxfId="41" priority="10" operator="containsText" text="TRUE">
      <formula>NOT(ISERROR(SEARCH("TRUE",F5)))</formula>
    </cfRule>
    <cfRule type="containsText" dxfId="40" priority="11" operator="containsText" text="FALSE">
      <formula>NOT(ISERROR(SEARCH("FALSE",F5)))</formula>
    </cfRule>
  </conditionalFormatting>
  <conditionalFormatting sqref="H5">
    <cfRule type="containsText" dxfId="39" priority="8" operator="containsText" text="TRUE">
      <formula>NOT(ISERROR(SEARCH("TRUE",H5)))</formula>
    </cfRule>
    <cfRule type="containsText" dxfId="38" priority="9" operator="containsText" text="FALSE">
      <formula>NOT(ISERROR(SEARCH("FALSE",H5)))</formula>
    </cfRule>
  </conditionalFormatting>
  <conditionalFormatting sqref="J5">
    <cfRule type="containsText" dxfId="37" priority="6" operator="containsText" text="TRUE">
      <formula>NOT(ISERROR(SEARCH("TRUE",J5)))</formula>
    </cfRule>
    <cfRule type="containsText" dxfId="36" priority="7" operator="containsText" text="FALSE">
      <formula>NOT(ISERROR(SEARCH("FALSE",J5)))</formula>
    </cfRule>
  </conditionalFormatting>
  <conditionalFormatting sqref="L5">
    <cfRule type="containsText" dxfId="35" priority="4" operator="containsText" text="TRUE">
      <formula>NOT(ISERROR(SEARCH("TRUE",L5)))</formula>
    </cfRule>
    <cfRule type="containsText" dxfId="34" priority="5" operator="containsText" text="FALSE">
      <formula>NOT(ISERROR(SEARCH("FALSE",L5)))</formula>
    </cfRule>
  </conditionalFormatting>
  <dataValidations count="7">
    <dataValidation type="list" allowBlank="1" showInputMessage="1" showErrorMessage="1" sqref="C5 H5 J5 L5 N5 E5:F5" xr:uid="{00000000-0002-0000-0D00-000000000000}">
      <formula1>"TRUE, FALSE"</formula1>
    </dataValidation>
    <dataValidation type="list" allowBlank="1" showInputMessage="1" showErrorMessage="1" sqref="G5 P5" xr:uid="{00000000-0002-0000-0D00-000001000000}">
      <formula1>INDIRECT("Shippers[Code]")</formula1>
    </dataValidation>
    <dataValidation type="list" allowBlank="1" showInputMessage="1" showErrorMessage="1" sqref="I5 Q5" xr:uid="{00000000-0002-0000-0D00-000002000000}">
      <formula1>INDIRECT("Sites[Code]")</formula1>
    </dataValidation>
    <dataValidation type="list" allowBlank="1" showInputMessage="1" showErrorMessage="1" sqref="K5" xr:uid="{00000000-0002-0000-0D00-000003000000}">
      <formula1>INDIRECT("TransportMethods[Code]")</formula1>
    </dataValidation>
    <dataValidation type="list" allowBlank="1" showInputMessage="1" showErrorMessage="1" sqref="M5" xr:uid="{00000000-0002-0000-0D00-000004000000}">
      <formula1>INDIRECT("MaterialTypes[Code]")</formula1>
    </dataValidation>
    <dataValidation type="list" allowBlank="1" showInputMessage="1" showErrorMessage="1" sqref="O5" xr:uid="{00000000-0002-0000-0D00-000005000000}">
      <formula1>INDIRECT("Commodities[Code]")</formula1>
    </dataValidation>
    <dataValidation type="list" allowBlank="1" showInputMessage="1" showErrorMessage="1" sqref="R5" xr:uid="{00000000-0002-0000-0D00-000006000000}">
      <formula1>INDIRECT("Streams[Code]")</formula1>
    </dataValidation>
  </dataValidations>
  <pageMargins left="0.7" right="0.7" top="0.75" bottom="0.75" header="0.3" footer="0.3"/>
  <pageSetup scale="3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7924"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8" tint="0.39997558519241921"/>
    <pageSetUpPr fitToPage="1"/>
  </sheetPr>
  <dimension ref="A1:F27"/>
  <sheetViews>
    <sheetView tabSelected="1" zoomScaleNormal="100" workbookViewId="0">
      <pane ySplit="1" topLeftCell="A2" activePane="bottomLeft" state="frozen"/>
      <selection activeCell="L37" sqref="L37"/>
      <selection pane="bottomLeft" activeCell="G5" sqref="G5"/>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106" t="s">
        <v>16</v>
      </c>
      <c r="C1" s="106"/>
      <c r="D1" s="106"/>
      <c r="E1" s="106"/>
      <c r="F1" s="106"/>
    </row>
    <row r="2" spans="1:6" s="4" customFormat="1" ht="15.75" thickTop="1">
      <c r="B2" s="62"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theme="8" tint="0.39997558519241921"/>
  </sheetPr>
  <dimension ref="B3:K8"/>
  <sheetViews>
    <sheetView workbookViewId="0">
      <selection activeCell="G7" sqref="G7"/>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67" t="s">
        <v>181</v>
      </c>
      <c r="C3" s="68"/>
      <c r="D3" s="68"/>
      <c r="E3" s="68"/>
      <c r="F3" s="68"/>
      <c r="G3" s="68"/>
      <c r="H3" s="68"/>
      <c r="I3" s="68"/>
      <c r="J3" s="68"/>
      <c r="K3" s="68"/>
    </row>
    <row r="4" spans="2:11">
      <c r="B4" s="18" t="s">
        <v>1</v>
      </c>
      <c r="C4" s="18" t="s">
        <v>0</v>
      </c>
      <c r="D4" s="18" t="s">
        <v>3</v>
      </c>
      <c r="E4" s="18" t="s">
        <v>170</v>
      </c>
      <c r="F4" s="18" t="s">
        <v>171</v>
      </c>
      <c r="G4" s="18" t="s">
        <v>172</v>
      </c>
      <c r="H4" s="18" t="s">
        <v>173</v>
      </c>
      <c r="I4" s="18" t="s">
        <v>174</v>
      </c>
      <c r="J4" s="18" t="s">
        <v>4</v>
      </c>
      <c r="K4" s="18" t="s">
        <v>17</v>
      </c>
    </row>
    <row r="5" spans="2:11">
      <c r="B5" t="b">
        <v>1</v>
      </c>
      <c r="C5" t="s">
        <v>175</v>
      </c>
      <c r="D5" t="s">
        <v>176</v>
      </c>
      <c r="E5">
        <v>50000</v>
      </c>
      <c r="H5">
        <v>1</v>
      </c>
      <c r="I5" t="s">
        <v>177</v>
      </c>
      <c r="K5">
        <v>1</v>
      </c>
    </row>
    <row r="6" spans="2:11">
      <c r="B6" t="b">
        <v>1</v>
      </c>
      <c r="C6" t="s">
        <v>156</v>
      </c>
      <c r="D6" t="s">
        <v>178</v>
      </c>
      <c r="E6">
        <v>35</v>
      </c>
      <c r="H6">
        <v>1</v>
      </c>
      <c r="I6" t="s">
        <v>177</v>
      </c>
      <c r="K6">
        <v>2</v>
      </c>
    </row>
    <row r="7" spans="2:11">
      <c r="B7" t="b">
        <v>1</v>
      </c>
      <c r="C7" t="s">
        <v>157</v>
      </c>
      <c r="D7" t="s">
        <v>179</v>
      </c>
      <c r="E7">
        <v>80000</v>
      </c>
      <c r="H7">
        <v>1</v>
      </c>
      <c r="I7" t="s">
        <v>177</v>
      </c>
      <c r="K7">
        <v>3</v>
      </c>
    </row>
    <row r="8" spans="2:11">
      <c r="B8" t="b">
        <v>1</v>
      </c>
      <c r="C8" t="s">
        <v>158</v>
      </c>
      <c r="D8" t="s">
        <v>180</v>
      </c>
      <c r="E8">
        <v>35</v>
      </c>
      <c r="H8">
        <v>1</v>
      </c>
      <c r="I8" t="s">
        <v>177</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theme="8" tint="0.39997558519241921"/>
  </sheetPr>
  <dimension ref="B3:M20"/>
  <sheetViews>
    <sheetView workbookViewId="0">
      <selection activeCell="F7" sqref="F7"/>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67" t="s">
        <v>111</v>
      </c>
      <c r="C3" s="68"/>
      <c r="D3" s="68"/>
      <c r="E3" s="68"/>
      <c r="F3" s="68"/>
      <c r="G3" s="68"/>
      <c r="H3" s="68"/>
      <c r="I3" s="68"/>
      <c r="J3" s="68"/>
      <c r="K3" s="68"/>
      <c r="L3" s="68"/>
      <c r="M3" s="68"/>
    </row>
    <row r="4" spans="2:13">
      <c r="B4" s="6" t="s">
        <v>1</v>
      </c>
      <c r="C4" s="6" t="s">
        <v>0</v>
      </c>
      <c r="D4" s="6" t="s">
        <v>3</v>
      </c>
      <c r="E4" s="6" t="s">
        <v>215</v>
      </c>
      <c r="F4" s="6" t="s">
        <v>216</v>
      </c>
      <c r="G4" s="6" t="s">
        <v>217</v>
      </c>
      <c r="H4" s="6" t="s">
        <v>218</v>
      </c>
      <c r="I4" s="6" t="s">
        <v>219</v>
      </c>
      <c r="J4" s="6" t="s">
        <v>220</v>
      </c>
      <c r="K4" s="6" t="s">
        <v>221</v>
      </c>
      <c r="L4" s="6" t="s">
        <v>222</v>
      </c>
      <c r="M4" s="6" t="s">
        <v>17</v>
      </c>
    </row>
    <row r="5" spans="2:13">
      <c r="B5" t="b">
        <v>1</v>
      </c>
      <c r="C5" t="s">
        <v>228</v>
      </c>
      <c r="D5" t="s">
        <v>229</v>
      </c>
      <c r="E5">
        <v>15</v>
      </c>
      <c r="M5">
        <v>1</v>
      </c>
    </row>
    <row r="6" spans="2:13">
      <c r="B6" t="b">
        <v>1</v>
      </c>
      <c r="C6" t="s">
        <v>277</v>
      </c>
      <c r="D6" t="s">
        <v>278</v>
      </c>
      <c r="E6">
        <v>15</v>
      </c>
      <c r="M6">
        <v>2</v>
      </c>
    </row>
    <row r="7" spans="2:13">
      <c r="B7" t="b">
        <v>1</v>
      </c>
      <c r="C7" t="s">
        <v>279</v>
      </c>
      <c r="D7" t="s">
        <v>280</v>
      </c>
      <c r="E7">
        <v>15</v>
      </c>
      <c r="M7">
        <v>3</v>
      </c>
    </row>
    <row r="8" spans="2:13">
      <c r="B8" t="b">
        <v>1</v>
      </c>
      <c r="C8" t="s">
        <v>281</v>
      </c>
      <c r="D8" t="s">
        <v>282</v>
      </c>
      <c r="E8">
        <v>15</v>
      </c>
      <c r="M8">
        <v>4</v>
      </c>
    </row>
    <row r="9" spans="2:13">
      <c r="B9" t="b">
        <v>1</v>
      </c>
      <c r="C9" t="s">
        <v>283</v>
      </c>
      <c r="D9" t="s">
        <v>284</v>
      </c>
      <c r="E9">
        <v>15</v>
      </c>
      <c r="M9">
        <v>5</v>
      </c>
    </row>
    <row r="10" spans="2:13">
      <c r="B10" t="b">
        <v>1</v>
      </c>
      <c r="C10" t="s">
        <v>285</v>
      </c>
      <c r="D10" t="s">
        <v>286</v>
      </c>
      <c r="E10">
        <v>15</v>
      </c>
      <c r="M10">
        <v>6</v>
      </c>
    </row>
    <row r="11" spans="2:13">
      <c r="B11" t="b">
        <v>1</v>
      </c>
      <c r="C11" t="s">
        <v>287</v>
      </c>
      <c r="D11" t="s">
        <v>288</v>
      </c>
      <c r="E11">
        <v>15</v>
      </c>
      <c r="M11">
        <v>7</v>
      </c>
    </row>
    <row r="12" spans="2:13">
      <c r="B12" t="b">
        <v>1</v>
      </c>
      <c r="C12" t="s">
        <v>289</v>
      </c>
      <c r="D12" t="s">
        <v>290</v>
      </c>
      <c r="E12">
        <v>15</v>
      </c>
      <c r="M12">
        <v>8</v>
      </c>
    </row>
    <row r="13" spans="2:13">
      <c r="B13" t="b">
        <v>1</v>
      </c>
      <c r="C13" t="s">
        <v>122</v>
      </c>
      <c r="D13" t="s">
        <v>291</v>
      </c>
      <c r="E13">
        <v>15</v>
      </c>
      <c r="M13">
        <v>9</v>
      </c>
    </row>
    <row r="14" spans="2:13">
      <c r="B14" t="b">
        <v>1</v>
      </c>
      <c r="C14" t="s">
        <v>292</v>
      </c>
      <c r="D14" t="s">
        <v>293</v>
      </c>
      <c r="E14">
        <v>15</v>
      </c>
      <c r="M14">
        <v>10</v>
      </c>
    </row>
    <row r="15" spans="2:13">
      <c r="B15" t="b">
        <v>1</v>
      </c>
      <c r="C15" t="s">
        <v>294</v>
      </c>
      <c r="D15" t="s">
        <v>295</v>
      </c>
      <c r="M15">
        <v>11</v>
      </c>
    </row>
    <row r="16" spans="2:13">
      <c r="B16" t="b">
        <v>1</v>
      </c>
      <c r="C16" t="s">
        <v>42</v>
      </c>
      <c r="D16" t="s">
        <v>296</v>
      </c>
      <c r="M16">
        <v>12</v>
      </c>
    </row>
    <row r="17" spans="2:13">
      <c r="B17" t="b">
        <v>1</v>
      </c>
      <c r="C17" t="s">
        <v>206</v>
      </c>
      <c r="D17" t="s">
        <v>206</v>
      </c>
      <c r="E17">
        <v>14</v>
      </c>
      <c r="M17">
        <v>14</v>
      </c>
    </row>
    <row r="18" spans="2:13">
      <c r="B18" t="b">
        <v>1</v>
      </c>
      <c r="C18" t="s">
        <v>297</v>
      </c>
      <c r="D18" t="s">
        <v>298</v>
      </c>
      <c r="E18">
        <v>15</v>
      </c>
      <c r="M18">
        <v>15</v>
      </c>
    </row>
    <row r="19" spans="2:13">
      <c r="B19" t="b">
        <v>1</v>
      </c>
      <c r="C19" t="s">
        <v>272</v>
      </c>
      <c r="D19" t="s">
        <v>299</v>
      </c>
      <c r="E19">
        <v>14</v>
      </c>
      <c r="M19">
        <v>16</v>
      </c>
    </row>
    <row r="20" spans="2:13">
      <c r="B20" t="b">
        <v>1</v>
      </c>
      <c r="C20" t="s">
        <v>247</v>
      </c>
      <c r="D20" t="s">
        <v>300</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8" tint="0.39997558519241921"/>
  </sheetPr>
  <dimension ref="B3:G8"/>
  <sheetViews>
    <sheetView workbookViewId="0">
      <selection activeCell="L37" sqref="L37"/>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67" t="s">
        <v>225</v>
      </c>
      <c r="C3" s="68"/>
      <c r="D3" s="68"/>
      <c r="E3" s="68"/>
      <c r="F3" s="68"/>
      <c r="G3" s="68"/>
    </row>
    <row r="4" spans="2:7">
      <c r="B4" s="6" t="s">
        <v>0</v>
      </c>
      <c r="C4" s="6" t="s">
        <v>1</v>
      </c>
      <c r="D4" s="6" t="s">
        <v>3</v>
      </c>
      <c r="E4" s="18" t="s">
        <v>17</v>
      </c>
    </row>
    <row r="5" spans="2:7">
      <c r="B5" t="s">
        <v>301</v>
      </c>
      <c r="C5" t="b">
        <v>1</v>
      </c>
      <c r="D5" t="s">
        <v>301</v>
      </c>
      <c r="E5">
        <v>12</v>
      </c>
    </row>
    <row r="6" spans="2:7">
      <c r="B6" t="s">
        <v>302</v>
      </c>
      <c r="C6" t="b">
        <v>1</v>
      </c>
      <c r="D6" t="s">
        <v>302</v>
      </c>
      <c r="E6">
        <v>13</v>
      </c>
    </row>
    <row r="7" spans="2:7">
      <c r="B7" t="s">
        <v>303</v>
      </c>
      <c r="C7" t="b">
        <v>1</v>
      </c>
      <c r="D7" t="s">
        <v>303</v>
      </c>
      <c r="E7">
        <v>14</v>
      </c>
    </row>
    <row r="8" spans="2:7">
      <c r="B8" t="s">
        <v>304</v>
      </c>
      <c r="C8" t="b">
        <v>1</v>
      </c>
      <c r="D8" t="s">
        <v>304</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Model_Panel" label="Model Panel" autoScale="true">
          <button id="ModelSingleRun" label="Run Optimiz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2.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3.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4.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5.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6.xml><?xml version="1.0" encoding="utf-8"?>
<ds:datastoreItem xmlns:ds="http://schemas.openxmlformats.org/officeDocument/2006/customXml" ds:itemID="{5F9FDD19-2E04-438C-B723-FF64C3DD2090}">
  <ds:schemaRefs>
    <ds:schemaRef ds:uri="http://purl.org/dc/terms/"/>
    <ds:schemaRef ds:uri="http://schemas.openxmlformats.org/package/2006/metadata/core-properties"/>
    <ds:schemaRef ds:uri="a8a573e9-1888-436c-b0b5-4345c55255eb"/>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7.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8.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17</vt:i4>
      </vt:variant>
      <vt:variant>
        <vt:lpstr>Excel 4.0 Macros</vt:lpstr>
      </vt:variant>
      <vt:variant>
        <vt:i4>1</vt:i4>
      </vt:variant>
      <vt:variant>
        <vt:lpstr>Named Ranges</vt:lpstr>
      </vt:variant>
      <vt:variant>
        <vt:i4>17</vt:i4>
      </vt:variant>
    </vt:vector>
  </HeadingPairs>
  <TitlesOfParts>
    <vt:vector size="35" baseType="lpstr">
      <vt:lpstr>Main</vt:lpstr>
      <vt:lpstr>Optimization Objective</vt:lpstr>
      <vt:lpstr>Commodities</vt:lpstr>
      <vt:lpstr>Shippers</vt:lpstr>
      <vt:lpstr>Sites</vt:lpstr>
      <vt:lpstr>Streams</vt:lpstr>
      <vt:lpstr>Stream to Experiment</vt:lpstr>
      <vt:lpstr>Product Costs</vt:lpstr>
      <vt:lpstr>Nominations</vt:lpstr>
      <vt:lpstr>Stream Out Constraints</vt:lpstr>
      <vt:lpstr>Tariff</vt:lpstr>
      <vt:lpstr>Site Out Constraints</vt:lpstr>
      <vt:lpstr>Supply-Stream Out Constraints</vt:lpstr>
      <vt:lpstr>System Tables</vt:lpstr>
      <vt:lpstr>Transport Methods</vt:lpstr>
      <vt:lpstr>Material Types</vt:lpstr>
      <vt:lpstr>Product Types</vt:lpstr>
      <vt:lpstr>Macro1</vt:lpstr>
      <vt:lpstr>Commodities!Print_Area</vt:lpstr>
      <vt:lpstr>Main!Print_Area</vt:lpstr>
      <vt:lpstr>'Material Types'!Print_Area</vt:lpstr>
      <vt:lpstr>Nominations!Print_Area</vt:lpstr>
      <vt:lpstr>'Optimization Objective'!Print_Area</vt:lpstr>
      <vt:lpstr>'Product Costs'!Print_Area</vt:lpstr>
      <vt:lpstr>'Product Types'!Print_Area</vt:lpstr>
      <vt:lpstr>Shippers!Print_Area</vt:lpstr>
      <vt:lpstr>'Site Out Constraints'!Print_Area</vt:lpstr>
      <vt:lpstr>Sites!Print_Area</vt:lpstr>
      <vt:lpstr>'Stream Out Constraints'!Print_Area</vt:lpstr>
      <vt:lpstr>'Stream to Experiment'!Print_Area</vt:lpstr>
      <vt:lpstr>Streams!Print_Area</vt:lpstr>
      <vt:lpstr>'Supply-Stream Out Constraints'!Print_Area</vt:lpstr>
      <vt:lpstr>'System Tables'!Print_Area</vt:lpstr>
      <vt:lpstr>Tariff!Print_Area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2017-07-27T15:13:20Z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