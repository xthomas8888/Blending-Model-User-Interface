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tables/table1.xml" ContentType="application/vnd.openxmlformats-officedocument.spreadsheetml.table+xml"/>
  <Override PartName="/xl/slicers/slicer1.xml" ContentType="application/vnd.ms-excel.slicer+xml"/>
  <Override PartName="/xl/drawings/drawing2.xml" ContentType="application/vnd.openxmlformats-officedocument.drawing+xml"/>
  <Override PartName="/xl/tables/table2.xml" ContentType="application/vnd.openxmlformats-officedocument.spreadsheetml.table+xml"/>
  <Override PartName="/xl/slicers/slicer2.xml" ContentType="application/vnd.ms-excel.slicer+xml"/>
  <Override PartName="/xl/drawings/drawing3.xml" ContentType="application/vnd.openxmlformats-officedocument.drawing+xml"/>
  <Override PartName="/xl/tables/table3.xml" ContentType="application/vnd.openxmlformats-officedocument.spreadsheetml.table+xml"/>
  <Override PartName="/xl/slicers/slicer3.xml" ContentType="application/vnd.ms-excel.slicer+xml"/>
  <Override PartName="/xl/drawings/drawing4.xml" ContentType="application/vnd.openxmlformats-officedocument.drawing+xml"/>
  <Override PartName="/xl/tables/table4.xml" ContentType="application/vnd.openxmlformats-officedocument.spreadsheetml.table+xml"/>
  <Override PartName="/xl/slicers/slicer4.xml" ContentType="application/vnd.ms-excel.slicer+xml"/>
  <Override PartName="/xl/drawings/drawing5.xml" ContentType="application/vnd.openxmlformats-officedocument.drawing+xml"/>
  <Override PartName="/xl/tables/table5.xml" ContentType="application/vnd.openxmlformats-officedocument.spreadsheetml.table+xml"/>
  <Override PartName="/xl/slicers/slicer5.xml" ContentType="application/vnd.ms-excel.slicer+xml"/>
  <Override PartName="/xl/drawings/drawing6.xml" ContentType="application/vnd.openxmlformats-officedocument.drawing+xml"/>
  <Override PartName="/xl/tables/table6.xml" ContentType="application/vnd.openxmlformats-officedocument.spreadsheetml.table+xml"/>
  <Override PartName="/xl/slicers/slicer6.xml" ContentType="application/vnd.ms-excel.slicer+xml"/>
  <Override PartName="/xl/drawings/drawing7.xml" ContentType="application/vnd.openxmlformats-officedocument.drawing+xml"/>
  <Override PartName="/xl/tables/table7.xml" ContentType="application/vnd.openxmlformats-officedocument.spreadsheetml.table+xml"/>
  <Override PartName="/xl/slicers/slicer7.xml" ContentType="application/vnd.ms-excel.slicer+xml"/>
  <Override PartName="/xl/drawings/drawing8.xml" ContentType="application/vnd.openxmlformats-officedocument.drawing+xml"/>
  <Override PartName="/xl/tables/table8.xml" ContentType="application/vnd.openxmlformats-officedocument.spreadsheetml.table+xml"/>
  <Override PartName="/xl/slicers/slicer8.xml" ContentType="application/vnd.ms-excel.slicer+xml"/>
  <Override PartName="/xl/drawings/drawing9.xml" ContentType="application/vnd.openxmlformats-officedocument.drawing+xml"/>
  <Override PartName="/xl/tables/table9.xml" ContentType="application/vnd.openxmlformats-officedocument.spreadsheetml.table+xml"/>
  <Override PartName="/xl/slicers/slicer9.xml" ContentType="application/vnd.ms-excel.slicer+xml"/>
  <Override PartName="/xl/drawings/drawing10.xml" ContentType="application/vnd.openxmlformats-officedocument.drawing+xml"/>
  <Override PartName="/xl/tables/table10.xml" ContentType="application/vnd.openxmlformats-officedocument.spreadsheetml.table+xml"/>
  <Override PartName="/xl/slicers/slicer10.xml" ContentType="application/vnd.ms-excel.slicer+xml"/>
  <Override PartName="/xl/drawings/drawing11.xml" ContentType="application/vnd.openxmlformats-officedocument.drawing+xml"/>
  <Override PartName="/xl/tables/table11.xml" ContentType="application/vnd.openxmlformats-officedocument.spreadsheetml.table+xml"/>
  <Override PartName="/xl/slicers/slicer11.xml" ContentType="application/vnd.ms-excel.slicer+xml"/>
  <Override PartName="/xl/tables/table12.xml" ContentType="application/vnd.openxmlformats-officedocument.spreadsheetml.table+xml"/>
  <Override PartName="/xl/tables/table1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STRLogo6.png" ContentType="image/.png"/>
</Types>
</file>

<file path=_rels/.rels><?xml version="1.0" encoding="UTF-8" standalone="yes"?>
<Relationships xmlns="http://schemas.openxmlformats.org/package/2006/relationships"><Relationship Id="R40eccb0e3cd34239"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201" codeName="{21656B06-1B9B-AA78-C99D-37B55691406E}"/>
  <workbookPr updateLinks="never" codeName="ThisWorkbook" hidePivotFieldList="1"/>
  <mc:AlternateContent xmlns:mc="http://schemas.openxmlformats.org/markup-compatibility/2006">
    <mc:Choice Requires="x15">
      <x15ac:absPath xmlns:x15ac="http://schemas.microsoft.com/office/spreadsheetml/2010/11/ac" url="C:\SS Development\Secure Blending\Blending-Model-User-Interface\"/>
    </mc:Choice>
  </mc:AlternateContent>
  <bookViews>
    <workbookView minimized="1" xWindow="0" yWindow="0" windowWidth="14385" windowHeight="4095" tabRatio="782" activeTab="8"/>
  </bookViews>
  <sheets>
    <sheet name="Main" sheetId="14" r:id="rId1"/>
    <sheet name="Shippers" sheetId="37" r:id="rId2"/>
    <sheet name="Sites" sheetId="38" r:id="rId3"/>
    <sheet name="Streams" sheetId="45" r:id="rId4"/>
    <sheet name="Product Costs" sheetId="39" r:id="rId5"/>
    <sheet name="Nominations" sheetId="44" r:id="rId6"/>
    <sheet name="Tariff" sheetId="42" r:id="rId7"/>
    <sheet name="Stream Constaints" sheetId="43" r:id="rId8"/>
    <sheet name="Outflow Constraints" sheetId="36" r:id="rId9"/>
    <sheet name="Stream to Experiment" sheetId="46" r:id="rId10"/>
    <sheet name="Total Inflow Constraints" sheetId="47" r:id="rId11"/>
    <sheet name="System Tables" sheetId="16" r:id="rId12"/>
  </sheets>
  <functionGroups builtInGroupCount="18"/>
  <definedNames>
    <definedName name="_xlnm.Print_Area" localSheetId="0">Main!$B$8:$O$18</definedName>
    <definedName name="_xlnm.Print_Area" localSheetId="5">Nominations!$B$4:$AA$30</definedName>
    <definedName name="_xlnm.Print_Area" localSheetId="8">'Outflow Constraints'!$B$4:$M$9</definedName>
    <definedName name="_xlnm.Print_Area" localSheetId="4">'Product Costs'!$B$4:$S$9</definedName>
    <definedName name="_xlnm.Print_Area" localSheetId="1">Shippers!$B$4:$G$52</definedName>
    <definedName name="_xlnm.Print_Area" localSheetId="2">Sites!$B$4:$M$122</definedName>
    <definedName name="_xlnm.Print_Area" localSheetId="7">'Stream Constaints'!$B$4:$L$12</definedName>
    <definedName name="_xlnm.Print_Area" localSheetId="9">'Stream to Experiment'!$B$4:$H$5</definedName>
    <definedName name="_xlnm.Print_Area" localSheetId="3">Streams!$B$4:$M$12</definedName>
    <definedName name="_xlnm.Print_Area" localSheetId="11">'System Tables'!$E$3:$N$7</definedName>
    <definedName name="_xlnm.Print_Area" localSheetId="6">Tariff!$B$4:$T$17</definedName>
    <definedName name="_xlnm.Print_Area" localSheetId="10">'Total Inflow Constraints'!$B$4:$L$5</definedName>
    <definedName name="Slicer_Active">#N/A</definedName>
    <definedName name="Slicer_Active711111">#N/A</definedName>
    <definedName name="Slicer_Active7111111">#N/A</definedName>
    <definedName name="Slicer_Active71111111">#N/A</definedName>
    <definedName name="Slicer_Active711111111">#N/A</definedName>
    <definedName name="Slicer_Active71111111111">#N/A</definedName>
    <definedName name="Slicer_Active711111111111">#N/A</definedName>
    <definedName name="Slicer_Active7111111111111">#N/A</definedName>
    <definedName name="Slicer_Active71111111111111">#N/A</definedName>
    <definedName name="Slicer_Active7111112">#N/A</definedName>
    <definedName name="Slicer_Active71111121">#N/A</definedName>
    <definedName name="Slicer_Experiment_Title">#N/A</definedName>
  </definedNames>
  <calcPr calcId="171027"/>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3"/>
        <x14:slicerCache r:id="rId14"/>
        <x14:slicerCache r:id="rId15"/>
        <x14:slicerCache r:id="rId16"/>
        <x14:slicerCache r:id="rId17"/>
        <x14:slicerCache r:id="rId18"/>
        <x14:slicerCache r:id="rId19"/>
        <x14:slicerCache r:id="rId20"/>
        <x14:slicerCache r:id="rId21"/>
        <x14:slicerCache r:id="rId22"/>
        <x14:slicerCache r:id="rId23"/>
        <x14:slicerCache r:id="rId24"/>
      </x15:slicerCaches>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5" i="47" l="1"/>
  <c r="B5" i="46"/>
  <c r="B9" i="36"/>
  <c r="B8" i="36"/>
  <c r="B7" i="36"/>
  <c r="B6" i="36"/>
  <c r="B5" i="36"/>
  <c r="B17" i="42"/>
  <c r="B16" i="42"/>
  <c r="B15" i="42"/>
  <c r="B14" i="42"/>
  <c r="B13" i="42"/>
  <c r="B12" i="42"/>
  <c r="B11" i="42"/>
  <c r="B10" i="42"/>
  <c r="B9" i="42"/>
  <c r="B8" i="42"/>
  <c r="B7" i="42"/>
  <c r="B6" i="42"/>
  <c r="B5" i="42"/>
  <c r="B30" i="44"/>
  <c r="B29" i="44"/>
  <c r="B28" i="44"/>
  <c r="B27" i="44"/>
  <c r="B26" i="44"/>
  <c r="B25" i="44"/>
  <c r="B24" i="44"/>
  <c r="B23" i="44"/>
  <c r="B22" i="44"/>
  <c r="B21" i="44"/>
  <c r="B20" i="44"/>
  <c r="B19" i="44"/>
  <c r="B18" i="44"/>
  <c r="B17" i="44"/>
  <c r="B16" i="44"/>
  <c r="B15" i="44"/>
  <c r="B14" i="44"/>
  <c r="B13" i="44"/>
  <c r="B12" i="44"/>
  <c r="B11" i="44"/>
  <c r="B10" i="44"/>
  <c r="B9" i="44"/>
  <c r="B8" i="44"/>
  <c r="B7" i="44"/>
  <c r="B6" i="44"/>
  <c r="B5" i="44"/>
  <c r="B9" i="39"/>
  <c r="B8" i="39"/>
  <c r="B7" i="39"/>
  <c r="B6" i="39"/>
  <c r="B5" i="39"/>
  <c r="B12" i="45"/>
  <c r="B11" i="45"/>
  <c r="B10" i="45"/>
  <c r="B9" i="45"/>
  <c r="B8" i="45"/>
  <c r="B7" i="45"/>
  <c r="B6" i="45"/>
  <c r="B5" i="45"/>
  <c r="B122" i="38"/>
  <c r="L122" i="38"/>
  <c r="B121" i="38"/>
  <c r="L121" i="38"/>
  <c r="B120" i="38"/>
  <c r="L120" i="38"/>
  <c r="B119" i="38"/>
  <c r="L119" i="38"/>
  <c r="B118" i="38"/>
  <c r="L118" i="38"/>
  <c r="B117" i="38"/>
  <c r="L117" i="38"/>
  <c r="B116" i="38"/>
  <c r="L116" i="38"/>
  <c r="B115" i="38"/>
  <c r="L115" i="38"/>
  <c r="B114" i="38"/>
  <c r="L114" i="38"/>
  <c r="B113" i="38"/>
  <c r="L113" i="38"/>
  <c r="B112" i="38"/>
  <c r="L112" i="38"/>
  <c r="B111" i="38"/>
  <c r="L111" i="38"/>
  <c r="B110" i="38"/>
  <c r="L110" i="38"/>
  <c r="B109" i="38"/>
  <c r="L109" i="38"/>
  <c r="B108" i="38"/>
  <c r="L108" i="38"/>
  <c r="B107" i="38"/>
  <c r="L107" i="38"/>
  <c r="B106" i="38"/>
  <c r="L106" i="38"/>
  <c r="B105" i="38"/>
  <c r="L105" i="38"/>
  <c r="B104" i="38"/>
  <c r="L104" i="38"/>
  <c r="B103" i="38"/>
  <c r="L103" i="38"/>
  <c r="B102" i="38"/>
  <c r="L102" i="38"/>
  <c r="B101" i="38"/>
  <c r="L101" i="38"/>
  <c r="B100" i="38"/>
  <c r="L100" i="38"/>
  <c r="B99" i="38"/>
  <c r="L99" i="38"/>
  <c r="B98" i="38"/>
  <c r="L98" i="38"/>
  <c r="B97" i="38"/>
  <c r="L97" i="38"/>
  <c r="B96" i="38"/>
  <c r="L96" i="38"/>
  <c r="B95" i="38"/>
  <c r="L95" i="38"/>
  <c r="B94" i="38"/>
  <c r="L94" i="38"/>
  <c r="B93" i="38"/>
  <c r="L93" i="38"/>
  <c r="B92" i="38"/>
  <c r="L92" i="38"/>
  <c r="B91" i="38"/>
  <c r="L91" i="38"/>
  <c r="B90" i="38"/>
  <c r="L90" i="38"/>
  <c r="B89" i="38"/>
  <c r="L89" i="38"/>
  <c r="B88" i="38"/>
  <c r="L88" i="38"/>
  <c r="B87" i="38"/>
  <c r="L87" i="38"/>
  <c r="B86" i="38"/>
  <c r="L86" i="38"/>
  <c r="B85" i="38"/>
  <c r="L85" i="38"/>
  <c r="B84" i="38"/>
  <c r="L84" i="38"/>
  <c r="B83" i="38"/>
  <c r="L83" i="38"/>
  <c r="B82" i="38"/>
  <c r="L82" i="38"/>
  <c r="B81" i="38"/>
  <c r="L81" i="38"/>
  <c r="B80" i="38"/>
  <c r="L80" i="38"/>
  <c r="B79" i="38"/>
  <c r="L79" i="38"/>
  <c r="B78" i="38"/>
  <c r="L78" i="38"/>
  <c r="B77" i="38"/>
  <c r="L77" i="38"/>
  <c r="B76" i="38"/>
  <c r="L76" i="38"/>
  <c r="B75" i="38"/>
  <c r="L75" i="38"/>
  <c r="B74" i="38"/>
  <c r="L74" i="38"/>
  <c r="B73" i="38"/>
  <c r="L73" i="38"/>
  <c r="B72" i="38"/>
  <c r="L72" i="38"/>
  <c r="B71" i="38"/>
  <c r="L71" i="38"/>
  <c r="B70" i="38"/>
  <c r="L70" i="38"/>
  <c r="B69" i="38"/>
  <c r="L69" i="38"/>
  <c r="B68" i="38"/>
  <c r="L68" i="38"/>
  <c r="B67" i="38"/>
  <c r="L67" i="38"/>
  <c r="B66" i="38"/>
  <c r="L66" i="38"/>
  <c r="B65" i="38"/>
  <c r="L65" i="38"/>
  <c r="B64" i="38"/>
  <c r="L64" i="38"/>
  <c r="B63" i="38"/>
  <c r="L63" i="38"/>
  <c r="B62" i="38"/>
  <c r="L62" i="38"/>
  <c r="B61" i="38"/>
  <c r="L61" i="38"/>
  <c r="B60" i="38"/>
  <c r="L60" i="38"/>
  <c r="B59" i="38"/>
  <c r="L59" i="38"/>
  <c r="B58" i="38"/>
  <c r="L58" i="38"/>
  <c r="B57" i="38"/>
  <c r="L57" i="38"/>
  <c r="B56" i="38"/>
  <c r="L56" i="38"/>
  <c r="B55" i="38"/>
  <c r="L55" i="38"/>
  <c r="B54" i="38"/>
  <c r="L54" i="38"/>
  <c r="B53" i="38"/>
  <c r="L53" i="38"/>
  <c r="B52" i="38"/>
  <c r="L52" i="38"/>
  <c r="B51" i="38"/>
  <c r="L51" i="38"/>
  <c r="B50" i="38"/>
  <c r="L50" i="38"/>
  <c r="B49" i="38"/>
  <c r="L49" i="38"/>
  <c r="B48" i="38"/>
  <c r="L48" i="38"/>
  <c r="B47" i="38"/>
  <c r="L47" i="38"/>
  <c r="B46" i="38"/>
  <c r="L46" i="38"/>
  <c r="B45" i="38"/>
  <c r="L45" i="38"/>
  <c r="B44" i="38"/>
  <c r="L44" i="38"/>
  <c r="B43" i="38"/>
  <c r="L43" i="38"/>
  <c r="B42" i="38"/>
  <c r="L42" i="38"/>
  <c r="B41" i="38"/>
  <c r="L41" i="38"/>
  <c r="B40" i="38"/>
  <c r="L40" i="38"/>
  <c r="B39" i="38"/>
  <c r="L39" i="38"/>
  <c r="B38" i="38"/>
  <c r="L38" i="38"/>
  <c r="B37" i="38"/>
  <c r="L37" i="38"/>
  <c r="B36" i="38"/>
  <c r="L36" i="38"/>
  <c r="B35" i="38"/>
  <c r="L35" i="38"/>
  <c r="B34" i="38"/>
  <c r="L34" i="38"/>
  <c r="B33" i="38"/>
  <c r="L33" i="38"/>
  <c r="B32" i="38"/>
  <c r="L32" i="38"/>
  <c r="B31" i="38"/>
  <c r="L31" i="38"/>
  <c r="B30" i="38"/>
  <c r="L30" i="38"/>
  <c r="B29" i="38"/>
  <c r="L29" i="38"/>
  <c r="B28" i="38"/>
  <c r="L28" i="38"/>
  <c r="B27" i="38"/>
  <c r="L27" i="38"/>
  <c r="B26" i="38"/>
  <c r="L26" i="38"/>
  <c r="B25" i="38"/>
  <c r="L25" i="38"/>
  <c r="B24" i="38"/>
  <c r="L24" i="38"/>
  <c r="B23" i="38"/>
  <c r="L23" i="38"/>
  <c r="B22" i="38"/>
  <c r="L22" i="38"/>
  <c r="B21" i="38"/>
  <c r="L21" i="38"/>
  <c r="B20" i="38"/>
  <c r="L20" i="38"/>
  <c r="B19" i="38"/>
  <c r="L19" i="38"/>
  <c r="B18" i="38"/>
  <c r="L18" i="38"/>
  <c r="B17" i="38"/>
  <c r="L17" i="38"/>
  <c r="B16" i="38"/>
  <c r="L16" i="38"/>
  <c r="B15" i="38"/>
  <c r="L15" i="38"/>
  <c r="B14" i="38"/>
  <c r="L14" i="38"/>
  <c r="B13" i="38"/>
  <c r="L13" i="38"/>
  <c r="B12" i="38"/>
  <c r="L12" i="38"/>
  <c r="B11" i="38"/>
  <c r="L11" i="38"/>
  <c r="B10" i="38"/>
  <c r="L10" i="38"/>
  <c r="B9" i="38"/>
  <c r="L9" i="38"/>
  <c r="B8" i="38"/>
  <c r="L8" i="38"/>
  <c r="B7" i="38"/>
  <c r="L7" i="38"/>
  <c r="B6" i="38"/>
  <c r="L6" i="38"/>
  <c r="B5" i="38"/>
  <c r="L5" i="38"/>
  <c r="B52" i="37"/>
  <c r="B51" i="37"/>
  <c r="B50" i="37"/>
  <c r="B49" i="37"/>
  <c r="B48" i="37"/>
  <c r="B47" i="37"/>
  <c r="B46" i="37"/>
  <c r="B45" i="37"/>
  <c r="B44" i="37"/>
  <c r="B43" i="37"/>
  <c r="B42" i="37"/>
  <c r="B41" i="37"/>
  <c r="B40" i="37"/>
  <c r="B39" i="37"/>
  <c r="B38" i="37"/>
  <c r="B37" i="37"/>
  <c r="B36" i="37"/>
  <c r="B35" i="37"/>
  <c r="B34" i="37"/>
  <c r="B33" i="37"/>
  <c r="B32" i="37"/>
  <c r="B31" i="37"/>
  <c r="B30" i="37"/>
  <c r="B29" i="37"/>
  <c r="B28" i="37"/>
  <c r="B27" i="37"/>
  <c r="B26" i="37"/>
  <c r="B25" i="37"/>
  <c r="B24" i="37"/>
  <c r="B23" i="37"/>
  <c r="B22" i="37"/>
  <c r="B21" i="37"/>
  <c r="B20" i="37"/>
  <c r="B19" i="37"/>
  <c r="B18" i="37"/>
  <c r="B17" i="37"/>
  <c r="B16" i="37"/>
  <c r="B15" i="37"/>
  <c r="B14" i="37"/>
  <c r="B13" i="37"/>
  <c r="B12" i="37"/>
  <c r="B11" i="37"/>
  <c r="B10" i="37"/>
  <c r="B9" i="37"/>
  <c r="B8" i="37"/>
  <c r="B7" i="37"/>
  <c r="B6" i="37"/>
  <c r="B5" i="37"/>
  <c r="B18" i="14"/>
  <c r="B17" i="14"/>
  <c r="B16" i="14"/>
  <c r="B15" i="14"/>
  <c r="B14" i="14"/>
  <c r="B13" i="14"/>
  <c r="B12" i="14"/>
  <c r="B11" i="14"/>
  <c r="B10" i="14"/>
  <c r="B9" i="14"/>
  <c r="B12" i="43" l="1"/>
  <c r="B11" i="43"/>
  <c r="B10" i="43"/>
  <c r="B9" i="43"/>
  <c r="B8" i="43"/>
  <c r="B7" i="43"/>
  <c r="B6" i="43"/>
  <c r="B5" i="43"/>
</calcChain>
</file>

<file path=xl/sharedStrings.xml><?xml version="1.0" encoding="utf-8"?>
<sst xmlns="http://schemas.openxmlformats.org/spreadsheetml/2006/main" count="1026" uniqueCount="374">
  <si>
    <t>Code</t>
  </si>
  <si>
    <t>Active</t>
  </si>
  <si>
    <t>Experiment</t>
  </si>
  <si>
    <t>Name</t>
  </si>
  <si>
    <t>Comments</t>
  </si>
  <si>
    <t>Description</t>
  </si>
  <si>
    <t>Variable</t>
  </si>
  <si>
    <t>Value</t>
  </si>
  <si>
    <t>DBName</t>
  </si>
  <si>
    <t>ConnectionString</t>
  </si>
  <si>
    <t>V</t>
  </si>
  <si>
    <t>L</t>
  </si>
  <si>
    <t>UserName</t>
  </si>
  <si>
    <t>Password</t>
  </si>
  <si>
    <t>Thomas</t>
  </si>
  <si>
    <t>Connection</t>
  </si>
  <si>
    <t>System tables</t>
  </si>
  <si>
    <t>Start Date</t>
  </si>
  <si>
    <t>ID</t>
  </si>
  <si>
    <t>Provider=Microsoft.ACE.OLEDB.12.0;</t>
  </si>
  <si>
    <t>DataSource.accdb</t>
  </si>
  <si>
    <t>Step</t>
  </si>
  <si>
    <t>Currency</t>
  </si>
  <si>
    <t>EXPERIMENT MANAGEMENT</t>
  </si>
  <si>
    <t>End Date</t>
  </si>
  <si>
    <t>CAN</t>
  </si>
  <si>
    <t>Order</t>
  </si>
  <si>
    <t>Type</t>
  </si>
  <si>
    <t>Facility</t>
  </si>
  <si>
    <t>Dependency</t>
  </si>
  <si>
    <t>Enbridge</t>
  </si>
  <si>
    <t>USD</t>
  </si>
  <si>
    <t>C02_AB_CAN</t>
  </si>
  <si>
    <t>C03_AB_CAN</t>
  </si>
  <si>
    <t>C05_MB_CAN</t>
  </si>
  <si>
    <t>C09_AB_CAN</t>
  </si>
  <si>
    <t>C10_AB_CAN</t>
  </si>
  <si>
    <t>C12_BC_CAN</t>
  </si>
  <si>
    <t>C13_MB_CAN</t>
  </si>
  <si>
    <t>C14_AB_CAN</t>
  </si>
  <si>
    <t>C18_SK_CAN</t>
  </si>
  <si>
    <t>IC02</t>
  </si>
  <si>
    <t>Percentage</t>
  </si>
  <si>
    <t>Auto Stop</t>
  </si>
  <si>
    <t>Iterations</t>
  </si>
  <si>
    <t>Maximum Run Duration</t>
  </si>
  <si>
    <t>Exchange Rate</t>
  </si>
  <si>
    <t>Year</t>
  </si>
  <si>
    <t>Month</t>
  </si>
  <si>
    <t>Factor (Barrel)</t>
  </si>
  <si>
    <t>1</t>
  </si>
  <si>
    <t>ALIDA_NOV2016</t>
  </si>
  <si>
    <t>November 2016</t>
  </si>
  <si>
    <t>ALIDA_DEC2016</t>
  </si>
  <si>
    <t>December 2016</t>
  </si>
  <si>
    <t>ALIDA_JAN2017</t>
  </si>
  <si>
    <t>January 2017</t>
  </si>
  <si>
    <t>ALIDA_FEB2017</t>
  </si>
  <si>
    <t>February 2017</t>
  </si>
  <si>
    <t>ALIDA_MAR2017</t>
  </si>
  <si>
    <t>March 2017</t>
  </si>
  <si>
    <t>ALIDA_APR2017</t>
  </si>
  <si>
    <t>April 2017</t>
  </si>
  <si>
    <t>ALIDA_MAY2017</t>
  </si>
  <si>
    <t>May 2017</t>
  </si>
  <si>
    <t>ALIDA_JUN2017</t>
  </si>
  <si>
    <t>June 2017</t>
  </si>
  <si>
    <t>THREE_STREAMS</t>
  </si>
  <si>
    <t>3 Stream Facility 2017</t>
  </si>
  <si>
    <t>TWO_FACILITY</t>
  </si>
  <si>
    <t>2 Facilities 5 Streams</t>
  </si>
  <si>
    <t>Shippers</t>
  </si>
  <si>
    <t>Canada_Capital</t>
  </si>
  <si>
    <t>Canada Capital</t>
  </si>
  <si>
    <t>Trafigura</t>
  </si>
  <si>
    <t>Postell</t>
  </si>
  <si>
    <t>Runcible_Oil</t>
  </si>
  <si>
    <t>Flint_Hills</t>
  </si>
  <si>
    <t>Vermilion</t>
  </si>
  <si>
    <t>TORC</t>
  </si>
  <si>
    <t>Serafina</t>
  </si>
  <si>
    <t>Plains</t>
  </si>
  <si>
    <t>Caltex</t>
  </si>
  <si>
    <t>Melita_Resources</t>
  </si>
  <si>
    <t>NGL</t>
  </si>
  <si>
    <t>Plains Enviro</t>
  </si>
  <si>
    <t>Plains2</t>
  </si>
  <si>
    <t>NAL</t>
  </si>
  <si>
    <t>CHS</t>
  </si>
  <si>
    <t>Crescent Point</t>
  </si>
  <si>
    <t>Centenial</t>
  </si>
  <si>
    <t>Lansing</t>
  </si>
  <si>
    <t>618555_Sask</t>
  </si>
  <si>
    <t>Secure Energy</t>
  </si>
  <si>
    <t>Seven_Generations</t>
  </si>
  <si>
    <t>Pembina_Pipeline_Corporation</t>
  </si>
  <si>
    <t>Canadian_Natural_Resources_Ltd</t>
  </si>
  <si>
    <t>Outlier_Resources_Ltd_(Acme)</t>
  </si>
  <si>
    <t>Mosaic</t>
  </si>
  <si>
    <t>Catapult</t>
  </si>
  <si>
    <t>Spry</t>
  </si>
  <si>
    <t>Tourmaline</t>
  </si>
  <si>
    <t>Yoho Resources</t>
  </si>
  <si>
    <t>Whitecap</t>
  </si>
  <si>
    <t>Andora</t>
  </si>
  <si>
    <t>Artek Exploration</t>
  </si>
  <si>
    <t>Baytex Energy Ltd</t>
  </si>
  <si>
    <t>Blackpearl</t>
  </si>
  <si>
    <t>Connacher</t>
  </si>
  <si>
    <t>Encana</t>
  </si>
  <si>
    <t>Grizzly</t>
  </si>
  <si>
    <t>Laricina</t>
  </si>
  <si>
    <t>Paramount</t>
  </si>
  <si>
    <t>Response</t>
  </si>
  <si>
    <t>Saguaro</t>
  </si>
  <si>
    <t>Spectra</t>
  </si>
  <si>
    <t>Trilogy Energy Corp</t>
  </si>
  <si>
    <t>Venturion</t>
  </si>
  <si>
    <t>XTO Energy Canada</t>
  </si>
  <si>
    <t>ACME_Products</t>
  </si>
  <si>
    <t>Sites</t>
  </si>
  <si>
    <t>Shipper</t>
  </si>
  <si>
    <t>X</t>
  </si>
  <si>
    <t>Y</t>
  </si>
  <si>
    <t>Z</t>
  </si>
  <si>
    <t>Address</t>
  </si>
  <si>
    <t>Trafigura1</t>
  </si>
  <si>
    <t>Trafigura2</t>
  </si>
  <si>
    <t>Trafigura3</t>
  </si>
  <si>
    <t>Postell1</t>
  </si>
  <si>
    <t>Postell2</t>
  </si>
  <si>
    <t>Postell3</t>
  </si>
  <si>
    <t>Flint_Hills1</t>
  </si>
  <si>
    <t>Flint_Hills2</t>
  </si>
  <si>
    <t>Vermilion1</t>
  </si>
  <si>
    <t>Vermilion2</t>
  </si>
  <si>
    <t>Vermilion3</t>
  </si>
  <si>
    <t>TORC1</t>
  </si>
  <si>
    <t>TORC2</t>
  </si>
  <si>
    <t>TORC3</t>
  </si>
  <si>
    <t>TORC4</t>
  </si>
  <si>
    <t>TORC5</t>
  </si>
  <si>
    <t>TORC6</t>
  </si>
  <si>
    <t>NGL_Tioga_C5+</t>
  </si>
  <si>
    <t>NGL_Robby_Lake_C5+</t>
  </si>
  <si>
    <t>Enbridge1</t>
  </si>
  <si>
    <t>Enbridge2</t>
  </si>
  <si>
    <t>Vermilion4</t>
  </si>
  <si>
    <t>Plains1</t>
  </si>
  <si>
    <t>Centenial1</t>
  </si>
  <si>
    <t>Centenial2</t>
  </si>
  <si>
    <t>Alida</t>
  </si>
  <si>
    <t>FoxCreek</t>
  </si>
  <si>
    <t>TORC7</t>
  </si>
  <si>
    <t>TORC8</t>
  </si>
  <si>
    <t>TORC9</t>
  </si>
  <si>
    <t>Centenial3</t>
  </si>
  <si>
    <t>Seven_Generations01</t>
  </si>
  <si>
    <t>Seven_Generations02</t>
  </si>
  <si>
    <t>Seven_Generations03</t>
  </si>
  <si>
    <t>Seven_Generations04</t>
  </si>
  <si>
    <t>Outlier_Resources_Ltd_(Acme)01</t>
  </si>
  <si>
    <t>Outlier Resources Ltd. (Acme)02</t>
  </si>
  <si>
    <t>Torc Oil &amp; Gas Ltd. (Apache)</t>
  </si>
  <si>
    <t>Mosiac01</t>
  </si>
  <si>
    <t>Mosiac02</t>
  </si>
  <si>
    <t>TORC10</t>
  </si>
  <si>
    <t>TORC11</t>
  </si>
  <si>
    <t>TORC12</t>
  </si>
  <si>
    <t>TORC13</t>
  </si>
  <si>
    <t>TORC14</t>
  </si>
  <si>
    <t>Spry1</t>
  </si>
  <si>
    <t>Tourmaline01</t>
  </si>
  <si>
    <t>Tourmaline02</t>
  </si>
  <si>
    <t>Tourmaline03</t>
  </si>
  <si>
    <t>Tourmaline04</t>
  </si>
  <si>
    <t>Tourmaline05</t>
  </si>
  <si>
    <t>Secure Energy Services Inc.01</t>
  </si>
  <si>
    <t>Secure Energy Services Inc.02</t>
  </si>
  <si>
    <t>Secure Energy Services Inc.03</t>
  </si>
  <si>
    <t>Secure Energy Services Inc.04</t>
  </si>
  <si>
    <t>Secure Energy Services Inc.05</t>
  </si>
  <si>
    <t>Secure Energy Services Inc.06</t>
  </si>
  <si>
    <t>Secure Energy Services Inc.07</t>
  </si>
  <si>
    <t>Encana (Brion)01</t>
  </si>
  <si>
    <t>Encana (Brion)02</t>
  </si>
  <si>
    <t>Encana (Brion)03</t>
  </si>
  <si>
    <t>Encana (Brion)04</t>
  </si>
  <si>
    <t>Laricina01</t>
  </si>
  <si>
    <t>Laricina02</t>
  </si>
  <si>
    <t>Outlier Resources Ltd. (Acme)03</t>
  </si>
  <si>
    <t>Outlier Resources Ltd. (Acme)04</t>
  </si>
  <si>
    <t>Outlier Resources Ltd. (Acme)05</t>
  </si>
  <si>
    <t>Saguaro01</t>
  </si>
  <si>
    <t>Saguaro02</t>
  </si>
  <si>
    <t>Seven Generations05</t>
  </si>
  <si>
    <t>Seven Generations06</t>
  </si>
  <si>
    <t>Spectra c/co Progress</t>
  </si>
  <si>
    <t>Spry2</t>
  </si>
  <si>
    <t>Spry3</t>
  </si>
  <si>
    <t>Tourmaline Oil Corp.</t>
  </si>
  <si>
    <t>Tourmaline06</t>
  </si>
  <si>
    <t>Tourmaline07</t>
  </si>
  <si>
    <t>Trilogy Energy Corp. (Acme)01</t>
  </si>
  <si>
    <t>Trilogy Energy Corp. (Acme)02</t>
  </si>
  <si>
    <t>Trilogy Energy Corp. (Acme)03</t>
  </si>
  <si>
    <t>Trilogy Energy Corp. (Apache)04</t>
  </si>
  <si>
    <t>Trilogy Energy Corp. (Apache)05</t>
  </si>
  <si>
    <t>Trilogy Energy Corp. (Apache)06</t>
  </si>
  <si>
    <t>XTO Energy Canada (Acme)01</t>
  </si>
  <si>
    <t>XTO Energy Canada (Apache)02</t>
  </si>
  <si>
    <t>XTO Energy Canada Energy03</t>
  </si>
  <si>
    <t>ACME_Facility01</t>
  </si>
  <si>
    <t>ACME_Facility02</t>
  </si>
  <si>
    <t>ShipperID</t>
  </si>
  <si>
    <t>Product Costs</t>
  </si>
  <si>
    <t>Material Type</t>
  </si>
  <si>
    <t>Cost Rule</t>
  </si>
  <si>
    <t>Cost</t>
  </si>
  <si>
    <t>Unit</t>
  </si>
  <si>
    <t>Minimum Density</t>
  </si>
  <si>
    <t>Maximum Density</t>
  </si>
  <si>
    <t>Minimum Sulfur</t>
  </si>
  <si>
    <t>Maximum Sulfur</t>
  </si>
  <si>
    <t>Minimum TVP</t>
  </si>
  <si>
    <t>Maximum TVP</t>
  </si>
  <si>
    <t>P_WTI</t>
  </si>
  <si>
    <t>FIXED</t>
  </si>
  <si>
    <t>Reference Commodity</t>
  </si>
  <si>
    <t>BBL</t>
  </si>
  <si>
    <t>P_LSB</t>
  </si>
  <si>
    <t>GAP</t>
  </si>
  <si>
    <t>P_MSB</t>
  </si>
  <si>
    <t>P_C4</t>
  </si>
  <si>
    <t>RELATIVE</t>
  </si>
  <si>
    <t>P_COND</t>
  </si>
  <si>
    <t>LSW</t>
  </si>
  <si>
    <t>WTI</t>
  </si>
  <si>
    <t>Tariff Type</t>
  </si>
  <si>
    <t>Exclude Commodities</t>
  </si>
  <si>
    <t>Excluded Commodity List</t>
  </si>
  <si>
    <t>Exclude Material Types</t>
  </si>
  <si>
    <t>Exclude Transport Methods</t>
  </si>
  <si>
    <t>Exclude Shippers</t>
  </si>
  <si>
    <t>Exclude Sites</t>
  </si>
  <si>
    <t>From Shipper Site</t>
  </si>
  <si>
    <t>To Shipper</t>
  </si>
  <si>
    <t>To Shipper Site</t>
  </si>
  <si>
    <t>Tariff</t>
  </si>
  <si>
    <t>T68</t>
  </si>
  <si>
    <t>WADF</t>
  </si>
  <si>
    <t>MSB</t>
  </si>
  <si>
    <t>Mainline LSB [WADF]</t>
  </si>
  <si>
    <t>T69</t>
  </si>
  <si>
    <t>TOLL</t>
  </si>
  <si>
    <t>pipeline tariff</t>
  </si>
  <si>
    <t>T70</t>
  </si>
  <si>
    <t>unload cost</t>
  </si>
  <si>
    <t>T71</t>
  </si>
  <si>
    <t>ALLOWANCE</t>
  </si>
  <si>
    <t>loss allowance</t>
  </si>
  <si>
    <t>T72</t>
  </si>
  <si>
    <t>T73</t>
  </si>
  <si>
    <t>Mainline MSB-Midale [WADF]</t>
  </si>
  <si>
    <t>T74</t>
  </si>
  <si>
    <t>WestSpur [WADF]</t>
  </si>
  <si>
    <t>T75</t>
  </si>
  <si>
    <t>TARIFF</t>
  </si>
  <si>
    <t>pipeline tariff for pipe/MSB</t>
  </si>
  <si>
    <t>T76</t>
  </si>
  <si>
    <t>COST_ADJUSTMENTS</t>
  </si>
  <si>
    <t>Adjustment 0.15 USD/BBL</t>
  </si>
  <si>
    <t>T77</t>
  </si>
  <si>
    <t>SALES_ADJUSTMENTS</t>
  </si>
  <si>
    <t>Lease vol Alida to Cromer</t>
  </si>
  <si>
    <t>T78</t>
  </si>
  <si>
    <t>Adjustment 0.11 CAD/m3</t>
  </si>
  <si>
    <t>T79</t>
  </si>
  <si>
    <t>Alida to Alida (Plama Alida)</t>
  </si>
  <si>
    <t>T80</t>
  </si>
  <si>
    <t>Mainline Out</t>
  </si>
  <si>
    <t>Nominations</t>
  </si>
  <si>
    <t>Blending Order</t>
  </si>
  <si>
    <t>Site</t>
  </si>
  <si>
    <t>Commodity</t>
  </si>
  <si>
    <t>Transport Method</t>
  </si>
  <si>
    <t>Battery Calculation</t>
  </si>
  <si>
    <t>Nomination</t>
  </si>
  <si>
    <t>Minimum Nomination</t>
  </si>
  <si>
    <t>Maximum Nomination</t>
  </si>
  <si>
    <t>Density</t>
  </si>
  <si>
    <t>Sulphur</t>
  </si>
  <si>
    <t>Viscosity</t>
  </si>
  <si>
    <t>TVP</t>
  </si>
  <si>
    <t>RVP</t>
  </si>
  <si>
    <t>Premium</t>
  </si>
  <si>
    <t>Premium Currency</t>
  </si>
  <si>
    <t>Premium Unit</t>
  </si>
  <si>
    <t>Priority</t>
  </si>
  <si>
    <t>Nomination Variability</t>
  </si>
  <si>
    <t>Blending Charge</t>
  </si>
  <si>
    <t>N001</t>
  </si>
  <si>
    <t>N002</t>
  </si>
  <si>
    <t>N003</t>
  </si>
  <si>
    <t>N004</t>
  </si>
  <si>
    <t>N005</t>
  </si>
  <si>
    <t>N006</t>
  </si>
  <si>
    <t>N007</t>
  </si>
  <si>
    <t>N008</t>
  </si>
  <si>
    <t>N009</t>
  </si>
  <si>
    <t>N010</t>
  </si>
  <si>
    <t>N011</t>
  </si>
  <si>
    <t>N012</t>
  </si>
  <si>
    <t>N013</t>
  </si>
  <si>
    <t>N014</t>
  </si>
  <si>
    <t>N015</t>
  </si>
  <si>
    <t>N016</t>
  </si>
  <si>
    <t>N017</t>
  </si>
  <si>
    <t>N018</t>
  </si>
  <si>
    <t>N019</t>
  </si>
  <si>
    <t>N020</t>
  </si>
  <si>
    <t>N021</t>
  </si>
  <si>
    <t>N022</t>
  </si>
  <si>
    <t>N023</t>
  </si>
  <si>
    <t>N024</t>
  </si>
  <si>
    <t>N025</t>
  </si>
  <si>
    <t>N026</t>
  </si>
  <si>
    <t>LSB</t>
  </si>
  <si>
    <t>TRUCK</t>
  </si>
  <si>
    <t>PIPE</t>
  </si>
  <si>
    <t>C4</t>
  </si>
  <si>
    <t>BTRUCK</t>
  </si>
  <si>
    <t>From Shipper</t>
  </si>
  <si>
    <t>Outflow Constraints</t>
  </si>
  <si>
    <t>Constraint Type</t>
  </si>
  <si>
    <t>Stream</t>
  </si>
  <si>
    <t>Minimum Limit</t>
  </si>
  <si>
    <t>Minimum Capacity</t>
  </si>
  <si>
    <t>Maximum Limit</t>
  </si>
  <si>
    <t>Maximum Capacity</t>
  </si>
  <si>
    <t>Destination Shipper</t>
  </si>
  <si>
    <t>Destination Site</t>
  </si>
  <si>
    <t>ST01</t>
  </si>
  <si>
    <t>Stream 01</t>
  </si>
  <si>
    <t>ST02</t>
  </si>
  <si>
    <t>Stream 02</t>
  </si>
  <si>
    <t>ST03</t>
  </si>
  <si>
    <t>Stream 03</t>
  </si>
  <si>
    <t>Streams</t>
  </si>
  <si>
    <t>Size</t>
  </si>
  <si>
    <t>MinSize</t>
  </si>
  <si>
    <t>MaxSize</t>
  </si>
  <si>
    <t>DefaultStep</t>
  </si>
  <si>
    <t>optVarType</t>
  </si>
  <si>
    <t>RAIL</t>
  </si>
  <si>
    <t>Rail</t>
  </si>
  <si>
    <t>DISCRETE</t>
  </si>
  <si>
    <t>Truck</t>
  </si>
  <si>
    <t>Pipeline</t>
  </si>
  <si>
    <t>Butane Truck</t>
  </si>
  <si>
    <t>Transport Methods</t>
  </si>
  <si>
    <t>Stream Constraints</t>
  </si>
  <si>
    <t>Total Density</t>
  </si>
  <si>
    <t>DENSITY</t>
  </si>
  <si>
    <t>Total TVP</t>
  </si>
  <si>
    <t>Total Revenue</t>
  </si>
  <si>
    <t>REVENUE</t>
  </si>
  <si>
    <t>Total Sulfur</t>
  </si>
  <si>
    <t>SULFUR</t>
  </si>
  <si>
    <t>Total Outflow</t>
  </si>
  <si>
    <t>FLOW</t>
  </si>
  <si>
    <t>Stream to Experiment</t>
  </si>
  <si>
    <t>Total Inflow Constraints</t>
  </si>
  <si>
    <t>Minimum Capacity 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</si>
</sst>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0_ ;[Red]\-#,##0.00\ "/>
    <numFmt numFmtId="165" formatCode="[$-409]mmmm\ d\,\ yyyy;@"/>
  </numFmts>
  <fonts count="24">
    <font>
      <sz val="11"/>
      <color theme="1"/>
      <name val="Calibri"/>
      <family val="2"/>
      <scheme val="minor"/>
    </font>
    <font>
      <sz val="11"/>
      <name val="Calibri"/>
      <family val="2"/>
    </font>
    <font>
      <b/>
      <sz val="16"/>
      <color theme="5" tint="-0.249977111117893"/>
      <name val="Calibri"/>
      <family val="2"/>
      <scheme val="minor"/>
    </font>
    <font>
      <sz val="11"/>
      <color theme="0"/>
      <name val="Calibri"/>
      <family val="2"/>
      <scheme val="minor"/>
    </font>
    <font>
      <sz val="11"/>
      <name val="Calibri"/>
      <family val="2"/>
      <scheme val="minor"/>
    </font>
    <font>
      <sz val="11"/>
      <color indexed="8"/>
      <name val="Calibri"/>
      <family val="2"/>
      <scheme val="minor"/>
    </font>
    <font>
      <sz val="11"/>
      <color theme="5"/>
      <name val="Calibri"/>
      <family val="2"/>
      <scheme val="minor"/>
    </font>
    <font>
      <sz val="11"/>
      <name val="Calibri"/>
      <family val="2"/>
    </font>
    <font>
      <b/>
      <sz val="26"/>
      <color theme="5"/>
      <name val="Calibri"/>
      <family val="2"/>
      <scheme val="minor"/>
    </font>
    <font>
      <sz val="11"/>
      <color theme="1"/>
      <name val="Calibri"/>
      <family val="2"/>
      <scheme val="minor"/>
    </font>
    <font>
      <b/>
      <sz val="11"/>
      <color theme="1"/>
      <name val="Arial Black"/>
      <family val="2"/>
    </font>
    <font>
      <sz val="11"/>
      <color theme="5" tint="0.79998168889431442"/>
      <name val="Calibri"/>
      <family val="2"/>
      <scheme val="minor"/>
    </font>
    <font>
      <sz val="11"/>
      <name val="Calibri"/>
      <family val="2"/>
    </font>
    <font>
      <sz val="11"/>
      <name val="Calibri"/>
      <family val="2"/>
      <scheme val="minor"/>
    </font>
    <font>
      <sz val="11"/>
      <name val="Calibri"/>
    </font>
    <font>
      <sz val="11"/>
      <name val="Calibri"/>
      <scheme val="minor"/>
    </font>
    <font>
      <sz val="11"/>
      <color theme="1"/>
      <name val="Calibri"/>
      <family val="2"/>
      <scheme val="minor"/>
    </font>
    <font>
      <sz val="11"/>
      <color theme="0"/>
      <name val="Calibri"/>
      <family val="2"/>
      <scheme val="minor"/>
    </font>
    <font>
      <b/>
      <sz val="26"/>
      <color theme="5"/>
      <name val="Calibri"/>
      <family val="2"/>
      <scheme val="minor"/>
    </font>
    <font>
      <sz val="11"/>
      <color theme="5"/>
      <name val="Calibri"/>
      <family val="2"/>
      <scheme val="minor"/>
    </font>
    <font>
      <sz val="11"/>
      <name val="Calibri"/>
      <family val="2"/>
      <scheme val="minor"/>
    </font>
    <font>
      <sz val="11"/>
      <name val="Calibri"/>
      <family val="2"/>
    </font>
    <font>
      <sz val="11"/>
      <name val="Calibri"/>
    </font>
    <font>
      <b/>
      <sz val="11"/>
      <color theme="1"/>
      <name val="Calibri"/>
      <family val="2"/>
      <scheme val="minor"/>
    </font>
  </fonts>
  <fills count="4">
    <fill>
      <patternFill patternType="none"/>
    </fill>
    <fill>
      <patternFill patternType="gray125"/>
    </fill>
    <fill>
      <patternFill patternType="solid">
        <fgColor theme="1" tint="4.9989318521683403E-2"/>
        <bgColor indexed="64"/>
      </patternFill>
    </fill>
    <fill>
      <patternFill patternType="solid">
        <fgColor rgb="FFDDDDDD"/>
        <bgColor indexed="64"/>
      </patternFill>
    </fill>
  </fills>
  <borders count="3">
    <border>
      <left/>
      <right/>
      <top/>
      <bottom/>
      <diagonal/>
    </border>
    <border>
      <left/>
      <right/>
      <top style="thick">
        <color theme="1" tint="0.24994659260841701"/>
      </top>
      <bottom/>
      <diagonal/>
    </border>
    <border>
      <left/>
      <right/>
      <top/>
      <bottom style="thick">
        <color theme="1" tint="0.24994659260841701"/>
      </bottom>
      <diagonal/>
    </border>
  </borders>
  <cellStyleXfs count="2">
    <xf numFmtId="0" fontId="0" fillId="0" borderId="0"/>
    <xf numFmtId="165" fontId="5" fillId="0" borderId="0"/>
  </cellStyleXfs>
  <cellXfs count="83">
    <xf numFmtId="0" fontId="0" fillId="0" borderId="0" xfId="0"/>
    <xf numFmtId="0" fontId="0" fillId="0" borderId="0" xfId="0" applyAlignment="1">
      <alignment horizontal="left"/>
    </xf>
    <xf numFmtId="0" fontId="0" fillId="2" borderId="0" xfId="0" applyFill="1" applyProtection="1"/>
    <xf numFmtId="0" fontId="2" fillId="0" borderId="0" xfId="0" applyFont="1"/>
    <xf numFmtId="0" fontId="0" fillId="0" borderId="1" xfId="0" applyBorder="1"/>
    <xf numFmtId="0" fontId="0" fillId="3" borderId="0" xfId="0" applyFill="1"/>
    <xf numFmtId="0" fontId="0" fillId="0" borderId="0" xfId="0" applyNumberFormat="1"/>
    <xf numFmtId="0" fontId="0" fillId="0" borderId="0" xfId="0" applyNumberFormat="1" applyAlignment="1">
      <alignment horizontal="center" vertical="center"/>
    </xf>
    <xf numFmtId="164" fontId="0" fillId="0" borderId="0" xfId="0" applyNumberFormat="1" applyAlignment="1">
      <alignment horizontal="center" vertical="center"/>
    </xf>
    <xf numFmtId="0" fontId="0" fillId="0" borderId="0" xfId="0" applyNumberFormat="1" applyAlignment="1">
      <alignment horizontal="right" vertical="center"/>
    </xf>
    <xf numFmtId="0" fontId="0" fillId="0" borderId="0" xfId="0" applyProtection="1">
      <protection hidden="1"/>
    </xf>
    <xf numFmtId="0" fontId="0" fillId="0" borderId="0" xfId="0" applyAlignment="1">
      <alignment horizontal="center" vertical="center" wrapText="1"/>
    </xf>
    <xf numFmtId="0" fontId="0" fillId="0" borderId="0" xfId="0" applyAlignment="1" applyProtection="1">
      <alignment wrapText="1"/>
      <protection hidden="1"/>
    </xf>
    <xf numFmtId="0" fontId="0" fillId="0" borderId="0" xfId="0" applyAlignment="1">
      <alignment wrapText="1"/>
    </xf>
    <xf numFmtId="0" fontId="0" fillId="0" borderId="0" xfId="0" applyFill="1"/>
    <xf numFmtId="0" fontId="0" fillId="0" borderId="0" xfId="0" applyAlignment="1">
      <alignment horizontal="center" vertical="center"/>
    </xf>
    <xf numFmtId="0" fontId="0" fillId="0" borderId="0" xfId="0" applyFill="1" applyBorder="1"/>
    <xf numFmtId="0" fontId="0" fillId="0" borderId="0" xfId="0" applyNumberFormat="1" applyAlignment="1">
      <alignment horizontal="center" vertical="center" wrapText="1"/>
    </xf>
    <xf numFmtId="0" fontId="0" fillId="0" borderId="0" xfId="0" applyNumberFormat="1" applyAlignment="1">
      <alignment wrapText="1"/>
    </xf>
    <xf numFmtId="0" fontId="0" fillId="0" borderId="0" xfId="0" applyNumberFormat="1" applyAlignment="1">
      <alignment horizontal="center" vertical="top" wrapText="1"/>
    </xf>
    <xf numFmtId="0" fontId="6" fillId="0" borderId="0" xfId="0" applyNumberFormat="1" applyFont="1" applyAlignment="1">
      <alignment horizontal="center" vertical="top" wrapText="1"/>
    </xf>
    <xf numFmtId="0" fontId="0" fillId="0" borderId="0" xfId="0" applyNumberFormat="1" applyAlignment="1">
      <alignment horizontal="left" vertical="center"/>
    </xf>
    <xf numFmtId="0" fontId="0" fillId="0" borderId="1" xfId="0" applyBorder="1" applyAlignment="1">
      <alignment horizontal="center"/>
    </xf>
    <xf numFmtId="0" fontId="6" fillId="0" borderId="0" xfId="0" applyNumberFormat="1" applyFont="1" applyAlignment="1">
      <alignment horizontal="center" vertical="center" wrapText="1"/>
    </xf>
    <xf numFmtId="0" fontId="3" fillId="0" borderId="0" xfId="0" applyFont="1" applyFill="1" applyBorder="1" applyAlignment="1" applyProtection="1">
      <alignment wrapText="1"/>
      <protection hidden="1"/>
    </xf>
    <xf numFmtId="0" fontId="4" fillId="0" borderId="0" xfId="0" applyFont="1" applyFill="1" applyBorder="1" applyAlignment="1" applyProtection="1">
      <alignment wrapText="1"/>
      <protection hidden="1"/>
    </xf>
    <xf numFmtId="0" fontId="8" fillId="3" borderId="0" xfId="0" applyFont="1" applyFill="1" applyBorder="1" applyAlignment="1">
      <alignment horizontal="left" vertical="center"/>
    </xf>
    <xf numFmtId="0" fontId="1" fillId="0" borderId="0" xfId="0" applyNumberFormat="1" applyFont="1" applyAlignment="1">
      <alignment horizontal="center"/>
    </xf>
    <xf numFmtId="0" fontId="7" fillId="0" borderId="0" xfId="0" applyNumberFormat="1" applyFont="1" applyAlignment="1">
      <alignment horizontal="center"/>
    </xf>
    <xf numFmtId="0" fontId="9" fillId="0" borderId="0" xfId="0" applyNumberFormat="1" applyFont="1" applyAlignment="1">
      <alignment horizontal="center"/>
    </xf>
    <xf numFmtId="0" fontId="0" fillId="2" borderId="0" xfId="0" applyNumberFormat="1" applyFill="1" applyProtection="1"/>
    <xf numFmtId="1" fontId="11" fillId="0" borderId="0" xfId="0" applyNumberFormat="1" applyFont="1" applyFill="1" applyAlignment="1">
      <alignment horizontal="right"/>
    </xf>
    <xf numFmtId="0" fontId="1" fillId="0" borderId="0" xfId="0" applyNumberFormat="1" applyFont="1" applyAlignment="1">
      <alignment horizontal="left"/>
    </xf>
    <xf numFmtId="0" fontId="7" fillId="0" borderId="0" xfId="0" applyNumberFormat="1" applyFont="1" applyAlignment="1">
      <alignment horizontal="left"/>
    </xf>
    <xf numFmtId="0" fontId="12" fillId="0" borderId="0" xfId="0" applyNumberFormat="1" applyFont="1" applyAlignment="1">
      <alignment horizontal="center"/>
    </xf>
    <xf numFmtId="0" fontId="13" fillId="0" borderId="0" xfId="0" applyNumberFormat="1" applyFont="1" applyAlignment="1" applyProtection="1">
      <alignment horizontal="center" wrapText="1"/>
      <protection hidden="1"/>
    </xf>
    <xf numFmtId="0" fontId="12" fillId="0" borderId="0" xfId="0" applyNumberFormat="1" applyFont="1" applyAlignment="1">
      <alignment horizontal="center" vertical="center"/>
    </xf>
    <xf numFmtId="0" fontId="7" fillId="0" borderId="0" xfId="0" applyNumberFormat="1" applyFont="1" applyAlignment="1">
      <alignment horizontal="right"/>
    </xf>
    <xf numFmtId="0" fontId="12" fillId="0" borderId="0" xfId="0" applyNumberFormat="1" applyFont="1" applyAlignment="1">
      <alignment horizontal="right"/>
    </xf>
    <xf numFmtId="14" fontId="1" fillId="0" borderId="0" xfId="0" applyNumberFormat="1" applyFont="1" applyAlignment="1">
      <alignment horizontal="center"/>
    </xf>
    <xf numFmtId="0" fontId="0" fillId="0" borderId="1" xfId="0" applyBorder="1" applyAlignment="1">
      <alignment horizontal="left"/>
    </xf>
    <xf numFmtId="0" fontId="1" fillId="0" borderId="0" xfId="0" applyNumberFormat="1" applyFont="1" applyAlignment="1">
      <alignment horizontal="center" vertical="center"/>
    </xf>
    <xf numFmtId="0" fontId="14" fillId="0" borderId="0" xfId="0" applyNumberFormat="1" applyFont="1" applyAlignment="1">
      <alignment horizontal="center"/>
    </xf>
    <xf numFmtId="0" fontId="14" fillId="0" borderId="0" xfId="0" applyNumberFormat="1" applyFont="1" applyAlignment="1">
      <alignment horizontal="center" vertical="center"/>
    </xf>
    <xf numFmtId="0" fontId="15" fillId="0" borderId="0" xfId="0" applyNumberFormat="1" applyFont="1" applyAlignment="1" applyProtection="1">
      <alignment horizontal="center" wrapText="1"/>
      <protection hidden="1"/>
    </xf>
    <xf numFmtId="0" fontId="14" fillId="0" borderId="0" xfId="0" applyNumberFormat="1" applyFont="1" applyAlignment="1">
      <alignment horizontal="left"/>
    </xf>
    <xf numFmtId="14" fontId="14" fillId="0" borderId="0" xfId="0" applyNumberFormat="1" applyFont="1" applyAlignment="1">
      <alignment horizontal="center"/>
    </xf>
    <xf numFmtId="0" fontId="14" fillId="0" borderId="0" xfId="0" applyNumberFormat="1" applyFont="1" applyAlignment="1">
      <alignment horizontal="right"/>
    </xf>
    <xf numFmtId="0" fontId="9" fillId="0" borderId="0" xfId="0" applyNumberFormat="1" applyFont="1" applyAlignment="1">
      <alignment horizontal="center" vertical="center"/>
    </xf>
    <xf numFmtId="0" fontId="14" fillId="0" borderId="0" xfId="0" applyNumberFormat="1" applyFont="1" applyAlignment="1" applyProtection="1">
      <alignment horizontal="center" vertical="center" wrapText="1"/>
      <protection hidden="1"/>
    </xf>
    <xf numFmtId="0" fontId="0" fillId="0" borderId="0" xfId="0" applyAlignment="1">
      <alignment horizontal="center"/>
    </xf>
    <xf numFmtId="0" fontId="0" fillId="0" borderId="0" xfId="0" applyNumberFormat="1" applyAlignment="1">
      <alignment horizontal="center"/>
    </xf>
    <xf numFmtId="0" fontId="1" fillId="0" borderId="0" xfId="0" applyNumberFormat="1" applyFont="1" applyAlignment="1">
      <alignment horizontal="right"/>
    </xf>
    <xf numFmtId="0" fontId="1" fillId="0" borderId="0" xfId="0" applyNumberFormat="1" applyFont="1" applyAlignment="1">
      <alignment horizontal="left" vertical="center"/>
    </xf>
    <xf numFmtId="0" fontId="15" fillId="0" borderId="0" xfId="0" applyNumberFormat="1" applyFont="1" applyAlignment="1" applyProtection="1">
      <alignment horizontal="center" vertical="center" wrapText="1"/>
      <protection hidden="1"/>
    </xf>
    <xf numFmtId="0" fontId="14" fillId="0" borderId="0" xfId="0" applyNumberFormat="1" applyFont="1" applyAlignment="1">
      <alignment horizontal="left" vertical="center"/>
    </xf>
    <xf numFmtId="0" fontId="1" fillId="0" borderId="0" xfId="0" applyNumberFormat="1" applyFont="1" applyAlignment="1" applyProtection="1">
      <alignment horizontal="center" vertical="center" wrapText="1"/>
      <protection hidden="1"/>
    </xf>
    <xf numFmtId="0" fontId="1" fillId="0" borderId="0" xfId="0" applyNumberFormat="1" applyFont="1" applyAlignment="1" applyProtection="1">
      <alignment horizontal="center" vertical="center"/>
      <protection hidden="1"/>
    </xf>
    <xf numFmtId="0" fontId="16" fillId="0" borderId="0" xfId="0" applyFont="1" applyFill="1" applyBorder="1"/>
    <xf numFmtId="0" fontId="16" fillId="0" borderId="0" xfId="0" applyFont="1"/>
    <xf numFmtId="0" fontId="16" fillId="0" borderId="0" xfId="0" applyFont="1" applyAlignment="1">
      <alignment horizontal="center" vertical="center"/>
    </xf>
    <xf numFmtId="0" fontId="17" fillId="0" borderId="0" xfId="0" applyFont="1" applyFill="1" applyBorder="1" applyAlignment="1" applyProtection="1">
      <alignment wrapText="1"/>
      <protection hidden="1"/>
    </xf>
    <xf numFmtId="0" fontId="18" fillId="3" borderId="0" xfId="0" applyFont="1" applyFill="1" applyBorder="1" applyAlignment="1">
      <alignment horizontal="left" vertical="center"/>
    </xf>
    <xf numFmtId="0" fontId="16" fillId="3" borderId="0" xfId="0" applyFont="1" applyFill="1"/>
    <xf numFmtId="0" fontId="16" fillId="0" borderId="1" xfId="0" applyFont="1" applyBorder="1"/>
    <xf numFmtId="0" fontId="16" fillId="0" borderId="1" xfId="0" applyFont="1" applyBorder="1" applyAlignment="1">
      <alignment horizontal="center"/>
    </xf>
    <xf numFmtId="0" fontId="19" fillId="0" borderId="0" xfId="0" applyNumberFormat="1" applyFont="1" applyAlignment="1">
      <alignment horizontal="center" vertical="top" wrapText="1"/>
    </xf>
    <xf numFmtId="0" fontId="16" fillId="0" borderId="0" xfId="0" applyNumberFormat="1" applyFont="1" applyAlignment="1">
      <alignment horizontal="center" vertical="top" wrapText="1"/>
    </xf>
    <xf numFmtId="0" fontId="16" fillId="0" borderId="0" xfId="0" applyFont="1" applyAlignment="1">
      <alignment wrapText="1"/>
    </xf>
    <xf numFmtId="0" fontId="20" fillId="0" borderId="0" xfId="0" applyFont="1" applyFill="1" applyBorder="1" applyAlignment="1" applyProtection="1">
      <alignment wrapText="1"/>
      <protection hidden="1"/>
    </xf>
    <xf numFmtId="0" fontId="21" fillId="0" borderId="0" xfId="0" applyNumberFormat="1" applyFont="1" applyAlignment="1">
      <alignment horizontal="center"/>
    </xf>
    <xf numFmtId="0" fontId="16" fillId="0" borderId="0" xfId="0" applyNumberFormat="1" applyFont="1" applyAlignment="1">
      <alignment horizontal="center"/>
    </xf>
    <xf numFmtId="0" fontId="21" fillId="0" borderId="0" xfId="0" applyNumberFormat="1" applyFont="1" applyAlignment="1">
      <alignment horizontal="center" vertical="center"/>
    </xf>
    <xf numFmtId="0" fontId="21" fillId="0" borderId="0" xfId="0" applyNumberFormat="1" applyFont="1" applyAlignment="1">
      <alignment horizontal="left"/>
    </xf>
    <xf numFmtId="14" fontId="21" fillId="0" borderId="0" xfId="0" applyNumberFormat="1" applyFont="1" applyAlignment="1">
      <alignment horizontal="center"/>
    </xf>
    <xf numFmtId="0" fontId="22" fillId="0" borderId="0" xfId="0" applyNumberFormat="1" applyFont="1" applyAlignment="1">
      <alignment horizontal="center"/>
    </xf>
    <xf numFmtId="0" fontId="21" fillId="0" borderId="0" xfId="0" applyNumberFormat="1" applyFont="1" applyAlignment="1">
      <alignment horizontal="right"/>
    </xf>
    <xf numFmtId="0" fontId="14" fillId="0" borderId="0" xfId="0" applyNumberFormat="1" applyFont="1" applyAlignment="1" applyProtection="1">
      <alignment horizontal="center" wrapText="1"/>
      <protection hidden="1"/>
    </xf>
    <xf numFmtId="0" fontId="23" fillId="0" borderId="1" xfId="0" applyFont="1" applyBorder="1"/>
    <xf numFmtId="0" fontId="8" fillId="3" borderId="2" xfId="0" applyFont="1" applyFill="1" applyBorder="1" applyAlignment="1">
      <alignment vertical="center"/>
    </xf>
    <xf numFmtId="0" fontId="10" fillId="0" borderId="0" xfId="0" applyFont="1" applyFill="1" applyAlignment="1">
      <alignment horizontal="left" vertical="top"/>
    </xf>
    <xf numFmtId="0" fontId="8" fillId="3" borderId="2" xfId="0" applyFont="1" applyFill="1" applyBorder="1" applyAlignment="1">
      <alignment horizontal="left" vertical="center"/>
    </xf>
    <xf numFmtId="0" fontId="18" fillId="3" borderId="2" xfId="0" applyFont="1" applyFill="1" applyBorder="1" applyAlignment="1">
      <alignment horizontal="left" vertical="center"/>
    </xf>
  </cellXfs>
  <cellStyles count="2">
    <cellStyle name="Normal" xfId="0" builtinId="0"/>
    <cellStyle name="Normal 2 3" xfId="1"/>
  </cellStyles>
  <dxfs count="246">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dxf>
    <dxf>
      <numFmt numFmtId="0" formatCode="General"/>
      <alignment horizontal="center" vertical="top" textRotation="0" wrapText="1" indent="0" justifyLastLine="0" shrinkToFit="0" readingOrder="0"/>
    </dxf>
    <dxf>
      <font>
        <color rgb="FF9C0006"/>
      </font>
    </dxf>
    <dxf>
      <font>
        <color rgb="FF006100"/>
      </font>
    </dxf>
    <dxf>
      <fill>
        <patternFill>
          <bgColor rgb="FFFFCCCC"/>
        </patternFill>
      </fill>
    </dxf>
    <dxf>
      <font>
        <color rgb="FF9C0006"/>
      </font>
    </dxf>
    <dxf>
      <font>
        <color rgb="FF006100"/>
      </font>
    </dxf>
    <dxf>
      <fill>
        <patternFill>
          <bgColor rgb="FFFFCCCC"/>
        </patternFill>
      </fill>
    </dxf>
    <dxf>
      <font>
        <color rgb="FF9C0006"/>
      </font>
    </dxf>
    <dxf>
      <font>
        <color rgb="FF006100"/>
      </font>
    </dxf>
    <dxf>
      <fill>
        <patternFill>
          <bgColor rgb="FFFFCCCC"/>
        </patternFill>
      </fill>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dxf>
    <dxf>
      <numFmt numFmtId="0" formatCode="General"/>
      <alignment horizontal="center" vertical="top" textRotation="0" wrapText="1" indent="0" justifyLastLine="0" shrinkToFit="0" readingOrder="0"/>
    </dxf>
    <dxf>
      <font>
        <color rgb="FF9C0006"/>
      </font>
    </dxf>
    <dxf>
      <font>
        <color rgb="FF006100"/>
      </font>
    </dxf>
    <dxf>
      <fill>
        <patternFill>
          <bgColor rgb="FFFFCCCC"/>
        </patternFill>
      </fill>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family val="2"/>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dxf>
    <dxf>
      <numFmt numFmtId="0" formatCode="General"/>
      <alignment horizontal="center" vertical="top" textRotation="0" wrapText="1" indent="0" justifyLastLine="0" shrinkToFit="0" readingOrder="0"/>
    </dxf>
    <dxf>
      <font>
        <color rgb="FF9C0006"/>
      </font>
    </dxf>
    <dxf>
      <font>
        <color rgb="FF006100"/>
      </font>
    </dxf>
    <dxf>
      <fill>
        <patternFill>
          <bgColor rgb="FFFFCCCC"/>
        </patternFill>
      </fill>
    </dxf>
    <dxf>
      <font>
        <color rgb="FF9C0006"/>
      </font>
    </dxf>
    <dxf>
      <font>
        <color rgb="FF006100"/>
      </font>
    </dxf>
    <dxf>
      <fill>
        <patternFill>
          <bgColor rgb="FFFFCCCC"/>
        </patternFill>
      </fill>
    </dxf>
    <dxf>
      <font>
        <color rgb="FF9C0006"/>
      </font>
    </dxf>
    <dxf>
      <font>
        <color rgb="FF006100"/>
      </font>
    </dxf>
    <dxf>
      <fill>
        <patternFill>
          <bgColor rgb="FFFFCCCC"/>
        </patternFill>
      </fill>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19" formatCode="m/d/yyyy"/>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19" formatCode="m/d/yyyy"/>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dxf>
    <dxf>
      <numFmt numFmtId="0" formatCode="General"/>
      <alignment horizontal="center" vertical="top" textRotation="0" wrapText="1" indent="0" justifyLastLine="0" shrinkToFit="0" readingOrder="0"/>
    </dxf>
    <dxf>
      <font>
        <color rgb="FF9C0006"/>
      </font>
    </dxf>
    <dxf>
      <font>
        <color rgb="FF006100"/>
      </font>
    </dxf>
    <dxf>
      <fill>
        <patternFill>
          <bgColor rgb="FFFFCCCC"/>
        </patternFill>
      </fill>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19" formatCode="m/d/yyyy"/>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dxf>
    <dxf>
      <numFmt numFmtId="0" formatCode="General"/>
      <alignment horizontal="center" vertical="top" textRotation="0" wrapText="1" indent="0" justifyLastLine="0" shrinkToFit="0" readingOrder="0"/>
    </dxf>
    <dxf>
      <font>
        <color rgb="FF9C0006"/>
      </font>
    </dxf>
    <dxf>
      <font>
        <color rgb="FF006100"/>
      </font>
    </dxf>
    <dxf>
      <font>
        <color rgb="FF9C0006"/>
      </font>
    </dxf>
    <dxf>
      <font>
        <color rgb="FF006100"/>
      </font>
    </dxf>
    <dxf>
      <font>
        <color rgb="FF9C0006"/>
      </font>
    </dxf>
    <dxf>
      <font>
        <color rgb="FF006100"/>
      </font>
    </dxf>
    <dxf>
      <font>
        <color rgb="FF9C0006"/>
      </font>
    </dxf>
    <dxf>
      <font>
        <color rgb="FF006100"/>
      </font>
    </dxf>
    <dxf>
      <font>
        <color rgb="FF9C0006"/>
      </font>
    </dxf>
    <dxf>
      <font>
        <color rgb="FF006100"/>
      </font>
    </dxf>
    <dxf>
      <fill>
        <patternFill>
          <bgColor rgb="FFFFCCCC"/>
        </patternFill>
      </fill>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family val="2"/>
        <scheme val="none"/>
      </font>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auto="1"/>
        <name val="Calibri"/>
        <family val="2"/>
        <scheme val="none"/>
      </font>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auto="1"/>
        <name val="Calibri"/>
        <family val="2"/>
        <scheme val="none"/>
      </font>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auto="1"/>
        <name val="Calibri"/>
        <family val="2"/>
        <scheme val="none"/>
      </font>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auto="1"/>
        <name val="Calibri"/>
        <family val="2"/>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family val="2"/>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left"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dxf>
    <dxf>
      <numFmt numFmtId="0" formatCode="General"/>
      <alignment horizontal="center" vertical="top" textRotation="0" wrapText="1" indent="0" justifyLastLine="0" shrinkToFit="0" readingOrder="0"/>
    </dxf>
    <dxf>
      <font>
        <color rgb="FF9C0006"/>
      </font>
    </dxf>
    <dxf>
      <font>
        <color rgb="FF006100"/>
      </font>
    </dxf>
    <dxf>
      <font>
        <color rgb="FF9C0006"/>
      </font>
    </dxf>
    <dxf>
      <font>
        <color rgb="FF006100"/>
      </font>
    </dxf>
    <dxf>
      <font>
        <color rgb="FF9C0006"/>
      </font>
    </dxf>
    <dxf>
      <font>
        <color rgb="FF006100"/>
      </font>
    </dxf>
    <dxf>
      <fill>
        <patternFill>
          <bgColor rgb="FFFFCCCC"/>
        </patternFill>
      </fill>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dxf>
    <dxf>
      <numFmt numFmtId="0" formatCode="General"/>
      <alignment horizontal="center" vertical="top" textRotation="0" wrapText="1" indent="0" justifyLastLine="0" shrinkToFit="0" readingOrder="0"/>
    </dxf>
    <dxf>
      <font>
        <color rgb="FF9C0006"/>
      </font>
    </dxf>
    <dxf>
      <font>
        <color rgb="FF006100"/>
      </font>
    </dxf>
    <dxf>
      <fill>
        <patternFill>
          <bgColor rgb="FFFFCCCC"/>
        </patternFill>
      </fill>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dxf>
    <dxf>
      <numFmt numFmtId="0" formatCode="General"/>
      <alignment horizontal="center" vertical="top" textRotation="0" wrapText="1" indent="0" justifyLastLine="0" shrinkToFit="0" readingOrder="0"/>
    </dxf>
    <dxf>
      <font>
        <color rgb="FF9C0006"/>
      </font>
    </dxf>
    <dxf>
      <font>
        <color rgb="FF006100"/>
      </font>
    </dxf>
    <dxf>
      <fill>
        <patternFill>
          <bgColor rgb="FFFFCCCC"/>
        </patternFill>
      </fill>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numFmt numFmtId="0" formatCode="General"/>
      <alignment horizontal="right"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strike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dxf>
    <dxf>
      <numFmt numFmtId="0" formatCode="General"/>
      <alignment horizontal="center" vertical="top" textRotation="0" wrapText="1" indent="0" justifyLastLine="0" shrinkToFit="0" readingOrder="0"/>
    </dxf>
    <dxf>
      <font>
        <color rgb="FF9C0006"/>
      </font>
    </dxf>
    <dxf>
      <font>
        <color rgb="FF006100"/>
      </font>
    </dxf>
    <dxf>
      <fill>
        <patternFill>
          <bgColor rgb="FFFFCCCC"/>
        </patternFill>
      </fill>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dxf>
    <dxf>
      <numFmt numFmtId="0" formatCode="General"/>
      <alignment horizontal="center" vertical="top" textRotation="0" wrapText="1" indent="0" justifyLastLine="0" shrinkToFit="0" readingOrder="0"/>
    </dxf>
    <dxf>
      <font>
        <color rgb="FF9C0006"/>
      </font>
    </dxf>
    <dxf>
      <font>
        <color rgb="FF006100"/>
      </font>
    </dxf>
    <dxf>
      <fill>
        <patternFill>
          <bgColor rgb="FFFFCCCC"/>
        </patternFill>
      </fill>
    </dxf>
    <dxf>
      <alignment horizontal="center" vertical="center" textRotation="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left" vertical="center" textRotation="0" wrapText="0" indent="0" justifyLastLine="0" shrinkToFit="0" readingOrder="0"/>
    </dxf>
    <dxf>
      <numFmt numFmtId="0" formatCode="General"/>
      <alignment horizontal="left" vertical="center" textRotation="0" wrapText="0" indent="0" justifyLastLine="0" shrinkToFit="0" readingOrder="0"/>
    </dxf>
    <dxf>
      <numFmt numFmtId="0" formatCode="General"/>
      <alignment horizontal="left" vertical="center" textRotation="0" wrapText="0" indent="0" justifyLastLine="0" shrinkToFit="0" readingOrder="0"/>
    </dxf>
    <dxf>
      <numFmt numFmtId="0" formatCode="General"/>
      <alignment horizontal="center" vertical="center" textRotation="0" indent="0" justifyLastLine="0" shrinkToFit="0" readingOrder="0"/>
    </dxf>
    <dxf>
      <numFmt numFmtId="0" formatCode="General"/>
      <alignment horizontal="center" vertical="center" textRotation="0" indent="0" justifyLastLine="0" shrinkToFit="0" readingOrder="0"/>
    </dxf>
    <dxf>
      <alignment horizontal="center" vertical="center" textRotation="0" indent="0" justifyLastLine="0" shrinkToFit="0" readingOrder="0"/>
    </dxf>
    <dxf>
      <numFmt numFmtId="0" formatCode="General"/>
      <alignment horizontal="center" vertical="center" textRotation="0" wrapText="1" indent="0" justifyLastLine="0" shrinkToFit="0" readingOrder="0"/>
    </dxf>
    <dxf>
      <font>
        <color rgb="FF9C0006"/>
      </font>
      <fill>
        <patternFill>
          <bgColor rgb="FFFFC7CE"/>
        </patternFill>
      </fill>
    </dxf>
    <dxf>
      <font>
        <color rgb="FF9C0006"/>
      </font>
      <fill>
        <patternFill patternType="none">
          <fgColor auto="1"/>
          <bgColor auto="1"/>
        </patternFill>
      </fill>
    </dxf>
    <dxf>
      <font>
        <color rgb="FF006100"/>
      </font>
    </dxf>
    <dxf>
      <font>
        <color rgb="FF9C0006"/>
      </font>
      <fill>
        <patternFill patternType="none">
          <fgColor auto="1"/>
          <bgColor auto="1"/>
        </patternFill>
      </fill>
    </dxf>
    <dxf>
      <font>
        <color rgb="FF006100"/>
      </font>
    </dxf>
    <dxf>
      <fill>
        <patternFill>
          <bgColor rgb="FFFFCCCC"/>
        </patternFill>
      </fill>
    </dxf>
    <dxf>
      <fill>
        <patternFill patternType="none">
          <bgColor auto="1"/>
        </patternFill>
      </fill>
    </dxf>
  </dxfs>
  <tableStyles count="1" defaultTableStyle="TableStyleMedium2" defaultPivotStyle="PivotStyleLight16">
    <tableStyle name="Slicer Style 1" pivot="0" table="0" count="1">
      <tableStyleElement type="wholeTable" dxfId="245"/>
    </tableStyle>
  </tableStyles>
  <colors>
    <mruColors>
      <color rgb="FFFF5050"/>
      <color rgb="FFFFCCCC"/>
      <color rgb="FFFF7C80"/>
      <color rgb="FFFF9999"/>
      <color rgb="FFFF9966"/>
      <color rgb="FFDDDDDD"/>
    </mruColors>
  </colors>
  <extLst>
    <ext xmlns:x14="http://schemas.microsoft.com/office/spreadsheetml/2009/9/main" uri="{EB79DEF2-80B8-43e5-95BD-54CBDDF9020C}">
      <x14:slicerStyles defaultSlicerStyle="SlicerStyleLight1">
        <x14:slicerStyle name="Slicer Style 1"/>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microsoft.com/office/2007/relationships/slicerCache" Target="slicerCaches/slicerCache1.xml"/><Relationship Id="rId18" Type="http://schemas.microsoft.com/office/2007/relationships/slicerCache" Target="slicerCaches/slicerCache6.xml"/><Relationship Id="rId26" Type="http://schemas.openxmlformats.org/officeDocument/2006/relationships/styles" Target="styles.xml"/><Relationship Id="rId21" Type="http://schemas.microsoft.com/office/2007/relationships/slicerCache" Target="slicerCaches/slicerCache9.xml"/><Relationship Id="rId34" Type="http://schemas.openxmlformats.org/officeDocument/2006/relationships/customXml" Target="../customXml/item6.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5.xml"/><Relationship Id="rId25" Type="http://schemas.openxmlformats.org/officeDocument/2006/relationships/theme" Target="theme/theme1.xml"/><Relationship Id="rId33" Type="http://schemas.openxmlformats.org/officeDocument/2006/relationships/customXml" Target="../customXml/item5.xml"/><Relationship Id="rId2" Type="http://schemas.openxmlformats.org/officeDocument/2006/relationships/worksheet" Target="worksheets/sheet2.xml"/><Relationship Id="rId16" Type="http://schemas.microsoft.com/office/2007/relationships/slicerCache" Target="slicerCaches/slicerCache4.xml"/><Relationship Id="rId20" Type="http://schemas.microsoft.com/office/2007/relationships/slicerCache" Target="slicerCaches/slicerCache8.xml"/><Relationship Id="rId29"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12.xml"/><Relationship Id="rId32" Type="http://schemas.openxmlformats.org/officeDocument/2006/relationships/customXml" Target="../customXml/item4.xml"/><Relationship Id="rId37" Type="http://schemas.microsoft.com/office/2006/relationships/vbaProject" Target="vbaProject.bin"/><Relationship Id="rId5" Type="http://schemas.openxmlformats.org/officeDocument/2006/relationships/worksheet" Target="worksheets/sheet5.xml"/><Relationship Id="rId15" Type="http://schemas.microsoft.com/office/2007/relationships/slicerCache" Target="slicerCaches/slicerCache3.xml"/><Relationship Id="rId23" Type="http://schemas.microsoft.com/office/2007/relationships/slicerCache" Target="slicerCaches/slicerCache11.xml"/><Relationship Id="rId28" Type="http://schemas.openxmlformats.org/officeDocument/2006/relationships/calcChain" Target="calcChain.xml"/><Relationship Id="rId36" Type="http://schemas.openxmlformats.org/officeDocument/2006/relationships/customXml" Target="../customXml/item8.xml"/><Relationship Id="rId10" Type="http://schemas.openxmlformats.org/officeDocument/2006/relationships/worksheet" Target="worksheets/sheet10.xml"/><Relationship Id="rId19" Type="http://schemas.microsoft.com/office/2007/relationships/slicerCache" Target="slicerCaches/slicerCache7.xml"/><Relationship Id="rId31"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2.xml"/><Relationship Id="rId22" Type="http://schemas.microsoft.com/office/2007/relationships/slicerCache" Target="slicerCaches/slicerCache10.xml"/><Relationship Id="rId27" Type="http://schemas.openxmlformats.org/officeDocument/2006/relationships/sharedStrings" Target="sharedStrings.xml"/><Relationship Id="rId30" Type="http://schemas.openxmlformats.org/officeDocument/2006/relationships/customXml" Target="../customXml/item2.xml"/><Relationship Id="rId35" Type="http://schemas.openxmlformats.org/officeDocument/2006/relationships/customXml" Target="../customXml/item7.xml"/><Relationship Id="rId8" Type="http://schemas.openxmlformats.org/officeDocument/2006/relationships/worksheet" Target="worksheets/sheet8.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6.png"/></Relationships>
</file>

<file path=xl/drawings/_rels/drawing2.xml.rels><?xml version="1.0" encoding="UTF-8" standalone="yes"?>
<Relationships xmlns="http://schemas.openxmlformats.org/package/2006/relationships"><Relationship Id="rId1" Type="http://schemas.openxmlformats.org/officeDocument/2006/relationships/image" Target="../media/image7.png"/></Relationships>
</file>

<file path=xl/drawings/_rels/drawing3.xml.rels><?xml version="1.0" encoding="UTF-8" standalone="yes"?>
<Relationships xmlns="http://schemas.openxmlformats.org/package/2006/relationships"><Relationship Id="rId1" Type="http://schemas.openxmlformats.org/officeDocument/2006/relationships/image" Target="../media/image7.png"/></Relationships>
</file>

<file path=xl/drawings/_rels/drawing4.xml.rels><?xml version="1.0" encoding="UTF-8" standalone="yes"?>
<Relationships xmlns="http://schemas.openxmlformats.org/package/2006/relationships"><Relationship Id="rId1"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7.png"/></Relationships>
</file>

<file path=xl/drawings/_rels/drawing6.xml.rels><?xml version="1.0" encoding="UTF-8" standalone="yes"?>
<Relationships xmlns="http://schemas.openxmlformats.org/package/2006/relationships"><Relationship Id="rId1" Type="http://schemas.openxmlformats.org/officeDocument/2006/relationships/image" Target="../media/image7.png"/></Relationships>
</file>

<file path=xl/drawings/_rels/drawing7.xml.rels><?xml version="1.0" encoding="UTF-8" standalone="yes"?>
<Relationships xmlns="http://schemas.openxmlformats.org/package/2006/relationships"><Relationship Id="rId1" Type="http://schemas.openxmlformats.org/officeDocument/2006/relationships/image" Target="../media/image7.png"/></Relationships>
</file>

<file path=xl/drawings/_rels/drawing8.xml.rels><?xml version="1.0" encoding="UTF-8" standalone="yes"?>
<Relationships xmlns="http://schemas.openxmlformats.org/package/2006/relationships"><Relationship Id="rId1" Type="http://schemas.openxmlformats.org/officeDocument/2006/relationships/image" Target="../media/image7.png"/></Relationships>
</file>

<file path=xl/drawings/_rels/drawing9.xml.rels><?xml version="1.0" encoding="UTF-8" standalone="yes"?>
<Relationships xmlns="http://schemas.openxmlformats.org/package/2006/relationships"><Relationship Id="rId1" Type="http://schemas.openxmlformats.org/officeDocument/2006/relationships/image" Target="../media/image7.png"/></Relationships>
</file>

<file path=xl/drawings/_rels/drawing10.xml.rels><?xml version="1.0" encoding="UTF-8" standalone="yes"?>
<Relationships xmlns="http://schemas.openxmlformats.org/package/2006/relationships"><Relationship Id="rId1" Type="http://schemas.openxmlformats.org/officeDocument/2006/relationships/image" Target="../media/image7.png"/></Relationships>
</file>

<file path=xl/drawings/_rels/drawing11.xml.rels><?xml version="1.0" encoding="UTF-8" standalone="yes"?>
<Relationships xmlns="http://schemas.openxmlformats.org/package/2006/relationships"><Relationship Id="rId1" Type="http://schemas.openxmlformats.org/officeDocument/2006/relationships/image" Target="../media/image7.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 Id="rId5" Type="http://schemas.openxmlformats.org/officeDocument/2006/relationships/image" Target="../media/image1.emf"/><Relationship Id="rId4"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10</xdr:col>
      <xdr:colOff>724670</xdr:colOff>
      <xdr:row>1</xdr:row>
      <xdr:rowOff>47625</xdr:rowOff>
    </xdr:to>
    <xdr:grpSp>
      <xdr:nvGrpSpPr>
        <xdr:cNvPr id="5" name="Group 4">
          <a:extLst>
            <a:ext uri="{FF2B5EF4-FFF2-40B4-BE49-F238E27FC236}">
              <a16:creationId xmlns:a16="http://schemas.microsoft.com/office/drawing/2014/main" id="{00000000-0008-0000-0000-000005000000}"/>
            </a:ext>
          </a:extLst>
        </xdr:cNvPr>
        <xdr:cNvGrpSpPr>
          <a:grpSpLocks noChangeAspect="1"/>
        </xdr:cNvGrpSpPr>
      </xdr:nvGrpSpPr>
      <xdr:grpSpPr>
        <a:xfrm>
          <a:off x="0" y="0"/>
          <a:ext cx="12287215" cy="729803"/>
          <a:chOff x="0" y="0"/>
          <a:chExt cx="12512883" cy="766851"/>
        </a:xfrm>
      </xdr:grpSpPr>
      <xdr:pic>
        <xdr:nvPicPr>
          <xdr:cNvPr id="10" name="Picture 9">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1"/>
          <a:stretch>
            <a:fillRect/>
          </a:stretch>
        </xdr:blipFill>
        <xdr:spPr>
          <a:xfrm>
            <a:off x="0" y="0"/>
            <a:ext cx="8939373" cy="720437"/>
          </a:xfrm>
          <a:prstGeom prst="rect">
            <a:avLst/>
          </a:prstGeom>
        </xdr:spPr>
      </xdr:pic>
      <xdr:sp macro="" textlink="">
        <xdr:nvSpPr>
          <xdr:cNvPr id="6" name="TextBox 5">
            <a:extLst>
              <a:ext uri="{FF2B5EF4-FFF2-40B4-BE49-F238E27FC236}">
                <a16:creationId xmlns:a16="http://schemas.microsoft.com/office/drawing/2014/main" id="{00000000-0008-0000-0000-000006000000}"/>
              </a:ext>
            </a:extLst>
          </xdr:cNvPr>
          <xdr:cNvSpPr txBox="1">
            <a:spLocks noChangeAspect="1"/>
          </xdr:cNvSpPr>
        </xdr:nvSpPr>
        <xdr:spPr>
          <a:xfrm>
            <a:off x="7770207" y="94846"/>
            <a:ext cx="4742676" cy="6720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ts val="2100"/>
              </a:lnSpc>
            </a:pPr>
            <a:r>
              <a:rPr lang="en-CA" sz="2000">
                <a:solidFill>
                  <a:schemeClr val="bg1"/>
                </a:solidFill>
                <a:latin typeface="Oswald" panose="02000503000000000000" pitchFamily="2" charset="0"/>
              </a:rPr>
              <a:t>Blending Model</a:t>
            </a:r>
            <a:endParaRPr lang="en-CA" sz="2000" baseline="0">
              <a:solidFill>
                <a:schemeClr val="bg1"/>
              </a:solidFill>
              <a:latin typeface="Oswald" panose="02000503000000000000" pitchFamily="2" charset="0"/>
            </a:endParaRPr>
          </a:p>
          <a:p>
            <a:pPr>
              <a:lnSpc>
                <a:spcPts val="2100"/>
              </a:lnSpc>
            </a:pPr>
            <a:r>
              <a:rPr lang="en-CA" sz="1200" b="1">
                <a:solidFill>
                  <a:schemeClr val="bg1"/>
                </a:solidFill>
                <a:effectLst/>
                <a:latin typeface="Oswald" panose="02000503000000000000" pitchFamily="2" charset="0"/>
                <a:cs typeface="Arial" panose="020B0604020202020204" pitchFamily="34" charset="0"/>
              </a:rPr>
              <a:t>Copyright © 2017 Stream Systems Ltd.</a:t>
            </a:r>
            <a:endParaRPr lang="en-CA" sz="1200" b="1" baseline="0">
              <a:solidFill>
                <a:schemeClr val="bg1"/>
              </a:solidFill>
              <a:latin typeface="Oswald" panose="02000503000000000000" pitchFamily="2" charset="0"/>
              <a:cs typeface="Arial" panose="020B0604020202020204" pitchFamily="34" charset="0"/>
            </a:endParaRPr>
          </a:p>
        </xdr:txBody>
      </xdr:sp>
    </xdr:grpSp>
    <xdr:clientData/>
  </xdr:twoCellAnchor>
  <mc:AlternateContent xmlns:mc="http://schemas.openxmlformats.org/markup-compatibility/2006">
    <mc:Choice xmlns:a14="http://schemas.microsoft.com/office/drawing/2010/main" Requires="a14">
      <xdr:twoCellAnchor>
        <xdr:from>
          <xdr:col>0</xdr:col>
          <xdr:colOff>169793</xdr:colOff>
          <xdr:row>3</xdr:row>
          <xdr:rowOff>92220</xdr:rowOff>
        </xdr:from>
        <xdr:to>
          <xdr:col>4</xdr:col>
          <xdr:colOff>1476375</xdr:colOff>
          <xdr:row>5</xdr:row>
          <xdr:rowOff>297706</xdr:rowOff>
        </xdr:to>
        <xdr:grpSp>
          <xdr:nvGrpSpPr>
            <xdr:cNvPr id="8" name="Group 7">
              <a:extLst>
                <a:ext uri="{FF2B5EF4-FFF2-40B4-BE49-F238E27FC236}">
                  <a16:creationId xmlns:a16="http://schemas.microsoft.com/office/drawing/2014/main" id="{00000000-0008-0000-0000-000008000000}"/>
                </a:ext>
              </a:extLst>
            </xdr:cNvPr>
            <xdr:cNvGrpSpPr/>
          </xdr:nvGrpSpPr>
          <xdr:grpSpPr>
            <a:xfrm>
              <a:off x="180794" y="1205438"/>
              <a:ext cx="3970496" cy="554966"/>
              <a:chOff x="477468" y="2445552"/>
              <a:chExt cx="2693958" cy="585646"/>
            </a:xfrm>
          </xdr:grpSpPr>
          <xdr:sp macro="" textlink="">
            <xdr:nvSpPr>
              <xdr:cNvPr id="4112" name="ComboBox1"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485488" y="2445552"/>
                <a:ext cx="2685938" cy="247619"/>
              </a:xfrm>
              <a:prstGeom prst="rect">
                <a:avLst/>
              </a:prstGeom>
              <a:noFill/>
              <a:ln>
                <a:noFill/>
              </a:ln>
              <a:extLst>
                <a:ext uri="{91240B29-F687-4F45-9708-019B960494DF}">
                  <a14:hiddenLine w="9525">
                    <a:noFill/>
                    <a:miter lim="800000"/>
                    <a:headEnd/>
                    <a:tailEnd/>
                  </a14:hiddenLine>
                </a:ext>
              </a:extLst>
            </xdr:spPr>
          </xdr:sp>
          <xdr:sp macro="" textlink="">
            <xdr:nvSpPr>
              <xdr:cNvPr id="4131" name="ExpDelBtn"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2567650" y="2782796"/>
                <a:ext cx="602820" cy="24840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sp macro="" textlink="">
            <xdr:nvSpPr>
              <xdr:cNvPr id="4132" name="ExpRefBtn"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477468" y="2782798"/>
                <a:ext cx="602820" cy="24840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sp macro="" textlink="">
            <xdr:nvSpPr>
              <xdr:cNvPr id="4146" name="CommandButton5"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1174196" y="2782798"/>
                <a:ext cx="602820" cy="24840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sp macro="" textlink="">
            <xdr:nvSpPr>
              <xdr:cNvPr id="4155" name="CommandButton6"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1870923" y="2782797"/>
                <a:ext cx="602820" cy="24840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grpSp>
        <xdr:clientData/>
      </xdr:twoCellAnchor>
    </mc:Choice>
    <mc:Fallback/>
  </mc:AlternateContent>
  <xdr:twoCellAnchor editAs="absolute">
    <xdr:from>
      <xdr:col>5</xdr:col>
      <xdr:colOff>64432</xdr:colOff>
      <xdr:row>1</xdr:row>
      <xdr:rowOff>171450</xdr:rowOff>
    </xdr:from>
    <xdr:to>
      <xdr:col>7</xdr:col>
      <xdr:colOff>67421</xdr:colOff>
      <xdr:row>5</xdr:row>
      <xdr:rowOff>314325</xdr:rowOff>
    </xdr:to>
    <mc:AlternateContent xmlns:mc="http://schemas.openxmlformats.org/markup-compatibility/2006" xmlns:sle15="http://schemas.microsoft.com/office/drawing/2012/slicer">
      <mc:Choice Requires="sle15">
        <xdr:graphicFrame macro="">
          <xdr:nvGraphicFramePr>
            <xdr:cNvPr id="2" name="Active">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Active"/>
            </a:graphicData>
          </a:graphic>
        </xdr:graphicFrame>
      </mc:Choice>
      <mc:Fallback xmlns="">
        <xdr:sp macro="" textlink="">
          <xdr:nvSpPr>
            <xdr:cNvPr id="0" name=""/>
            <xdr:cNvSpPr>
              <a:spLocks noTextEdit="1"/>
            </xdr:cNvSpPr>
          </xdr:nvSpPr>
          <xdr:spPr>
            <a:xfrm>
              <a:off x="4636432" y="895350"/>
              <a:ext cx="2393764" cy="9810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absolute">
    <xdr:from>
      <xdr:col>7</xdr:col>
      <xdr:colOff>179854</xdr:colOff>
      <xdr:row>1</xdr:row>
      <xdr:rowOff>171450</xdr:rowOff>
    </xdr:from>
    <xdr:to>
      <xdr:col>11</xdr:col>
      <xdr:colOff>152400</xdr:colOff>
      <xdr:row>5</xdr:row>
      <xdr:rowOff>314325</xdr:rowOff>
    </xdr:to>
    <mc:AlternateContent xmlns:mc="http://schemas.openxmlformats.org/markup-compatibility/2006" xmlns:sle15="http://schemas.microsoft.com/office/drawing/2012/slicer">
      <mc:Choice Requires="sle15">
        <xdr:graphicFrame macro="">
          <xdr:nvGraphicFramePr>
            <xdr:cNvPr id="3" name="Experiment Title">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microsoft.com/office/drawing/2010/slicer">
              <sle:slicer xmlns:sle="http://schemas.microsoft.com/office/drawing/2010/slicer" name="Experiment Title"/>
            </a:graphicData>
          </a:graphic>
        </xdr:graphicFrame>
      </mc:Choice>
      <mc:Fallback xmlns="">
        <xdr:sp macro="" textlink="">
          <xdr:nvSpPr>
            <xdr:cNvPr id="0" name=""/>
            <xdr:cNvSpPr>
              <a:spLocks noTextEdit="1"/>
            </xdr:cNvSpPr>
          </xdr:nvSpPr>
          <xdr:spPr>
            <a:xfrm>
              <a:off x="7142629" y="895350"/>
              <a:ext cx="5338848" cy="9810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absoluteAnchor>
    <xdr:pos x="85725" y="760095"/>
    <xdr:ext cx="1330325" cy="897255"/>
    <mc:AlternateContent xmlns:mc="http://schemas.openxmlformats.org/markup-compatibility/2006" xmlns:sle15="http://schemas.microsoft.com/office/drawing/2012/slicer">
      <mc:Choice Requires="sle15">
        <xdr:graphicFrame macro="">
          <xdr:nvGraphicFramePr>
            <xdr:cNvPr id="2" name="Active 20">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0/slicer">
              <sle:slicer xmlns:sle="http://schemas.microsoft.com/office/drawing/2010/slicer" name="Active 20"/>
            </a:graphicData>
          </a:graphic>
        </xdr:graphicFrame>
      </mc:Choice>
      <mc:Fallback xmlns="">
        <xdr:sp macro="" textlink="">
          <xdr:nvSpPr>
            <xdr:cNvPr id="0" name=""/>
            <xdr:cNvSpPr>
              <a:spLocks noTextEdit="1"/>
            </xdr:cNvSpPr>
          </xdr:nvSpPr>
          <xdr:spPr>
            <a:xfrm>
              <a:off x="85725" y="760095"/>
              <a:ext cx="1330325" cy="897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absoluteAnchor>
  <xdr:twoCellAnchor editAs="oneCell">
    <xdr:from>
      <xdr:col>0</xdr:col>
      <xdr:colOff>476250</xdr:colOff>
      <xdr:row>1</xdr:row>
      <xdr:rowOff>47625</xdr:rowOff>
    </xdr:from>
    <xdr:to>
      <xdr:col>0</xdr:col>
      <xdr:colOff>994650</xdr:colOff>
      <xdr:row>3</xdr:row>
      <xdr:rowOff>110302</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47625"/>
          <a:ext cx="518400" cy="548452"/>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absoluteAnchor>
    <xdr:pos x="85725" y="760095"/>
    <xdr:ext cx="1330325" cy="897255"/>
    <mc:AlternateContent xmlns:mc="http://schemas.openxmlformats.org/markup-compatibility/2006" xmlns:sle15="http://schemas.microsoft.com/office/drawing/2012/slicer">
      <mc:Choice Requires="sle15">
        <xdr:graphicFrame macro="">
          <xdr:nvGraphicFramePr>
            <xdr:cNvPr id="2" name="Active 2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microsoft.com/office/drawing/2010/slicer">
              <sle:slicer xmlns:sle="http://schemas.microsoft.com/office/drawing/2010/slicer" name="Active 21"/>
            </a:graphicData>
          </a:graphic>
        </xdr:graphicFrame>
      </mc:Choice>
      <mc:Fallback xmlns="">
        <xdr:sp macro="" textlink="">
          <xdr:nvSpPr>
            <xdr:cNvPr id="0" name=""/>
            <xdr:cNvSpPr>
              <a:spLocks noTextEdit="1"/>
            </xdr:cNvSpPr>
          </xdr:nvSpPr>
          <xdr:spPr>
            <a:xfrm>
              <a:off x="85725" y="760095"/>
              <a:ext cx="1330325" cy="897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absoluteAnchor>
  <xdr:twoCellAnchor editAs="oneCell">
    <xdr:from>
      <xdr:col>0</xdr:col>
      <xdr:colOff>476250</xdr:colOff>
      <xdr:row>1</xdr:row>
      <xdr:rowOff>47625</xdr:rowOff>
    </xdr:from>
    <xdr:to>
      <xdr:col>0</xdr:col>
      <xdr:colOff>994650</xdr:colOff>
      <xdr:row>3</xdr:row>
      <xdr:rowOff>110302</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47625"/>
          <a:ext cx="518400" cy="548452"/>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absoluteAnchor>
    <xdr:pos x="85725" y="760095"/>
    <xdr:ext cx="1330325" cy="897255"/>
    <mc:AlternateContent xmlns:mc="http://schemas.openxmlformats.org/markup-compatibility/2006" xmlns:sle15="http://schemas.microsoft.com/office/drawing/2012/slicer">
      <mc:Choice Requires="sle15">
        <xdr:graphicFrame macro="">
          <xdr:nvGraphicFramePr>
            <xdr:cNvPr id="2" name="Active 27">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microsoft.com/office/drawing/2010/slicer">
              <sle:slicer xmlns:sle="http://schemas.microsoft.com/office/drawing/2010/slicer" name="Active 27"/>
            </a:graphicData>
          </a:graphic>
        </xdr:graphicFrame>
      </mc:Choice>
      <mc:Fallback xmlns="">
        <xdr:sp macro="" textlink="">
          <xdr:nvSpPr>
            <xdr:cNvPr id="0" name=""/>
            <xdr:cNvSpPr>
              <a:spLocks noTextEdit="1"/>
            </xdr:cNvSpPr>
          </xdr:nvSpPr>
          <xdr:spPr>
            <a:xfrm>
              <a:off x="85725" y="760095"/>
              <a:ext cx="1330325" cy="897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absoluteAnchor>
  <xdr:twoCellAnchor editAs="oneCell">
    <xdr:from>
      <xdr:col>0</xdr:col>
      <xdr:colOff>476250</xdr:colOff>
      <xdr:row>1</xdr:row>
      <xdr:rowOff>47625</xdr:rowOff>
    </xdr:from>
    <xdr:to>
      <xdr:col>0</xdr:col>
      <xdr:colOff>994650</xdr:colOff>
      <xdr:row>3</xdr:row>
      <xdr:rowOff>110302</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47625"/>
          <a:ext cx="518400" cy="548452"/>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absoluteAnchor>
    <xdr:pos x="85725" y="760095"/>
    <xdr:ext cx="1330325" cy="897255"/>
    <mc:AlternateContent xmlns:mc="http://schemas.openxmlformats.org/markup-compatibility/2006" xmlns:sle15="http://schemas.microsoft.com/office/drawing/2012/slicer">
      <mc:Choice Requires="sle15">
        <xdr:graphicFrame macro="">
          <xdr:nvGraphicFramePr>
            <xdr:cNvPr id="2" name="Active 22">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microsoft.com/office/drawing/2010/slicer">
              <sle:slicer xmlns:sle="http://schemas.microsoft.com/office/drawing/2010/slicer" name="Active 22"/>
            </a:graphicData>
          </a:graphic>
        </xdr:graphicFrame>
      </mc:Choice>
      <mc:Fallback xmlns="">
        <xdr:sp macro="" textlink="">
          <xdr:nvSpPr>
            <xdr:cNvPr id="0" name=""/>
            <xdr:cNvSpPr>
              <a:spLocks noTextEdit="1"/>
            </xdr:cNvSpPr>
          </xdr:nvSpPr>
          <xdr:spPr>
            <a:xfrm>
              <a:off x="85725" y="760095"/>
              <a:ext cx="1330325" cy="897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absoluteAnchor>
  <xdr:twoCellAnchor editAs="oneCell">
    <xdr:from>
      <xdr:col>0</xdr:col>
      <xdr:colOff>476250</xdr:colOff>
      <xdr:row>1</xdr:row>
      <xdr:rowOff>47625</xdr:rowOff>
    </xdr:from>
    <xdr:to>
      <xdr:col>0</xdr:col>
      <xdr:colOff>994650</xdr:colOff>
      <xdr:row>3</xdr:row>
      <xdr:rowOff>110302</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47625"/>
          <a:ext cx="518400" cy="548452"/>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absoluteAnchor>
    <xdr:pos x="85725" y="760095"/>
    <xdr:ext cx="1330325" cy="897255"/>
    <mc:AlternateContent xmlns:mc="http://schemas.openxmlformats.org/markup-compatibility/2006" xmlns:sle15="http://schemas.microsoft.com/office/drawing/2012/slicer">
      <mc:Choice Requires="sle15">
        <xdr:graphicFrame macro="">
          <xdr:nvGraphicFramePr>
            <xdr:cNvPr id="2" name="Active 26">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microsoft.com/office/drawing/2010/slicer">
              <sle:slicer xmlns:sle="http://schemas.microsoft.com/office/drawing/2010/slicer" name="Active 26"/>
            </a:graphicData>
          </a:graphic>
        </xdr:graphicFrame>
      </mc:Choice>
      <mc:Fallback xmlns="">
        <xdr:sp macro="" textlink="">
          <xdr:nvSpPr>
            <xdr:cNvPr id="0" name=""/>
            <xdr:cNvSpPr>
              <a:spLocks noTextEdit="1"/>
            </xdr:cNvSpPr>
          </xdr:nvSpPr>
          <xdr:spPr>
            <a:xfrm>
              <a:off x="85725" y="760095"/>
              <a:ext cx="1330325" cy="897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absoluteAnchor>
  <xdr:twoCellAnchor editAs="oneCell">
    <xdr:from>
      <xdr:col>0</xdr:col>
      <xdr:colOff>476250</xdr:colOff>
      <xdr:row>1</xdr:row>
      <xdr:rowOff>47625</xdr:rowOff>
    </xdr:from>
    <xdr:to>
      <xdr:col>0</xdr:col>
      <xdr:colOff>994650</xdr:colOff>
      <xdr:row>3</xdr:row>
      <xdr:rowOff>110302</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47625"/>
          <a:ext cx="518400" cy="548452"/>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absoluteAnchor>
    <xdr:pos x="85725" y="760095"/>
    <xdr:ext cx="1330325" cy="897255"/>
    <mc:AlternateContent xmlns:mc="http://schemas.openxmlformats.org/markup-compatibility/2006" xmlns:sle15="http://schemas.microsoft.com/office/drawing/2012/slicer">
      <mc:Choice Requires="sle15">
        <xdr:graphicFrame macro="">
          <xdr:nvGraphicFramePr>
            <xdr:cNvPr id="2" name="Active 24">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microsoft.com/office/drawing/2010/slicer">
              <sle:slicer xmlns:sle="http://schemas.microsoft.com/office/drawing/2010/slicer" name="Active 24"/>
            </a:graphicData>
          </a:graphic>
        </xdr:graphicFrame>
      </mc:Choice>
      <mc:Fallback xmlns="">
        <xdr:sp macro="" textlink="">
          <xdr:nvSpPr>
            <xdr:cNvPr id="0" name=""/>
            <xdr:cNvSpPr>
              <a:spLocks noTextEdit="1"/>
            </xdr:cNvSpPr>
          </xdr:nvSpPr>
          <xdr:spPr>
            <a:xfrm>
              <a:off x="85725" y="760095"/>
              <a:ext cx="1330325" cy="897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absoluteAnchor>
  <xdr:twoCellAnchor editAs="oneCell">
    <xdr:from>
      <xdr:col>0</xdr:col>
      <xdr:colOff>476250</xdr:colOff>
      <xdr:row>1</xdr:row>
      <xdr:rowOff>47625</xdr:rowOff>
    </xdr:from>
    <xdr:to>
      <xdr:col>0</xdr:col>
      <xdr:colOff>994650</xdr:colOff>
      <xdr:row>3</xdr:row>
      <xdr:rowOff>110302</xdr:rowOff>
    </xdr:to>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47625"/>
          <a:ext cx="518400" cy="548452"/>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absoluteAnchor>
    <xdr:pos x="85725" y="760095"/>
    <xdr:ext cx="1330325" cy="897255"/>
    <mc:AlternateContent xmlns:mc="http://schemas.openxmlformats.org/markup-compatibility/2006" xmlns:sle15="http://schemas.microsoft.com/office/drawing/2012/slicer">
      <mc:Choice Requires="sle15">
        <xdr:graphicFrame macro="">
          <xdr:nvGraphicFramePr>
            <xdr:cNvPr id="2" name="Active 25">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microsoft.com/office/drawing/2010/slicer">
              <sle:slicer xmlns:sle="http://schemas.microsoft.com/office/drawing/2010/slicer" name="Active 25"/>
            </a:graphicData>
          </a:graphic>
        </xdr:graphicFrame>
      </mc:Choice>
      <mc:Fallback xmlns="">
        <xdr:sp macro="" textlink="">
          <xdr:nvSpPr>
            <xdr:cNvPr id="0" name=""/>
            <xdr:cNvSpPr>
              <a:spLocks noTextEdit="1"/>
            </xdr:cNvSpPr>
          </xdr:nvSpPr>
          <xdr:spPr>
            <a:xfrm>
              <a:off x="85725" y="760095"/>
              <a:ext cx="1330325" cy="897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absoluteAnchor>
  <xdr:twoCellAnchor editAs="oneCell">
    <xdr:from>
      <xdr:col>0</xdr:col>
      <xdr:colOff>476250</xdr:colOff>
      <xdr:row>1</xdr:row>
      <xdr:rowOff>47625</xdr:rowOff>
    </xdr:from>
    <xdr:to>
      <xdr:col>0</xdr:col>
      <xdr:colOff>994650</xdr:colOff>
      <xdr:row>3</xdr:row>
      <xdr:rowOff>110302</xdr:rowOff>
    </xdr:to>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47625"/>
          <a:ext cx="518400" cy="548452"/>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85725</xdr:colOff>
      <xdr:row>4</xdr:row>
      <xdr:rowOff>83820</xdr:rowOff>
    </xdr:from>
    <xdr:to>
      <xdr:col>1</xdr:col>
      <xdr:colOff>907</xdr:colOff>
      <xdr:row>9</xdr:row>
      <xdr:rowOff>38100</xdr:rowOff>
    </xdr:to>
    <mc:AlternateContent xmlns:mc="http://schemas.openxmlformats.org/markup-compatibility/2006" xmlns:sle15="http://schemas.microsoft.com/office/drawing/2012/slicer">
      <mc:Choice Requires="sle15">
        <xdr:graphicFrame macro="">
          <xdr:nvGraphicFramePr>
            <xdr:cNvPr id="2" name="Active 19">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microsoft.com/office/drawing/2010/slicer">
              <sle:slicer xmlns:sle="http://schemas.microsoft.com/office/drawing/2010/slicer" name="Active 19"/>
            </a:graphicData>
          </a:graphic>
        </xdr:graphicFrame>
      </mc:Choice>
      <mc:Fallback xmlns="">
        <xdr:sp macro="" textlink="">
          <xdr:nvSpPr>
            <xdr:cNvPr id="0" name=""/>
            <xdr:cNvSpPr>
              <a:spLocks noTextEdit="1"/>
            </xdr:cNvSpPr>
          </xdr:nvSpPr>
          <xdr:spPr>
            <a:xfrm>
              <a:off x="85725" y="760095"/>
              <a:ext cx="1330325" cy="897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oneCell">
    <xdr:from>
      <xdr:col>0</xdr:col>
      <xdr:colOff>476250</xdr:colOff>
      <xdr:row>1</xdr:row>
      <xdr:rowOff>47625</xdr:rowOff>
    </xdr:from>
    <xdr:to>
      <xdr:col>0</xdr:col>
      <xdr:colOff>994650</xdr:colOff>
      <xdr:row>3</xdr:row>
      <xdr:rowOff>110302</xdr:rowOff>
    </xdr:to>
    <xdr:pic>
      <xdr:nvPicPr>
        <xdr:cNvPr id="3" name="Pictur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47625"/>
          <a:ext cx="518400" cy="548452"/>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85725</xdr:colOff>
      <xdr:row>4</xdr:row>
      <xdr:rowOff>83820</xdr:rowOff>
    </xdr:from>
    <xdr:to>
      <xdr:col>1</xdr:col>
      <xdr:colOff>907</xdr:colOff>
      <xdr:row>9</xdr:row>
      <xdr:rowOff>38100</xdr:rowOff>
    </xdr:to>
    <mc:AlternateContent xmlns:mc="http://schemas.openxmlformats.org/markup-compatibility/2006" xmlns:sle15="http://schemas.microsoft.com/office/drawing/2012/slicer">
      <mc:Choice Requires="sle15">
        <xdr:graphicFrame macro="">
          <xdr:nvGraphicFramePr>
            <xdr:cNvPr id="2" name="Active 23">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microsoft.com/office/drawing/2010/slicer">
              <sle:slicer xmlns:sle="http://schemas.microsoft.com/office/drawing/2010/slicer" name="Active 23"/>
            </a:graphicData>
          </a:graphic>
        </xdr:graphicFrame>
      </mc:Choice>
      <mc:Fallback xmlns="">
        <xdr:sp macro="" textlink="">
          <xdr:nvSpPr>
            <xdr:cNvPr id="0" name=""/>
            <xdr:cNvSpPr>
              <a:spLocks noTextEdit="1"/>
            </xdr:cNvSpPr>
          </xdr:nvSpPr>
          <xdr:spPr>
            <a:xfrm>
              <a:off x="85725" y="760095"/>
              <a:ext cx="1334407" cy="897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oneCell">
    <xdr:from>
      <xdr:col>0</xdr:col>
      <xdr:colOff>476250</xdr:colOff>
      <xdr:row>1</xdr:row>
      <xdr:rowOff>47625</xdr:rowOff>
    </xdr:from>
    <xdr:to>
      <xdr:col>0</xdr:col>
      <xdr:colOff>994650</xdr:colOff>
      <xdr:row>3</xdr:row>
      <xdr:rowOff>110302</xdr:rowOff>
    </xdr:to>
    <xdr:pic>
      <xdr:nvPicPr>
        <xdr:cNvPr id="3" name="Picture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47625"/>
          <a:ext cx="518400" cy="548452"/>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absolute">
    <xdr:from>
      <xdr:col>0</xdr:col>
      <xdr:colOff>85725</xdr:colOff>
      <xdr:row>4</xdr:row>
      <xdr:rowOff>83820</xdr:rowOff>
    </xdr:from>
    <xdr:to>
      <xdr:col>1</xdr:col>
      <xdr:colOff>907</xdr:colOff>
      <xdr:row>9</xdr:row>
      <xdr:rowOff>38100</xdr:rowOff>
    </xdr:to>
    <mc:AlternateContent xmlns:mc="http://schemas.openxmlformats.org/markup-compatibility/2006" xmlns:sle15="http://schemas.microsoft.com/office/drawing/2012/slicer">
      <mc:Choice Requires="sle15">
        <xdr:graphicFrame macro="">
          <xdr:nvGraphicFramePr>
            <xdr:cNvPr id="2" name="Active 28">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microsoft.com/office/drawing/2010/slicer">
              <sle:slicer xmlns:sle="http://schemas.microsoft.com/office/drawing/2010/slicer" name="Active 28"/>
            </a:graphicData>
          </a:graphic>
        </xdr:graphicFrame>
      </mc:Choice>
      <mc:Fallback xmlns="">
        <xdr:sp macro="" textlink="">
          <xdr:nvSpPr>
            <xdr:cNvPr id="0" name=""/>
            <xdr:cNvSpPr>
              <a:spLocks noTextEdit="1"/>
            </xdr:cNvSpPr>
          </xdr:nvSpPr>
          <xdr:spPr>
            <a:xfrm>
              <a:off x="85725" y="760095"/>
              <a:ext cx="1334407" cy="897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oneCell">
    <xdr:from>
      <xdr:col>0</xdr:col>
      <xdr:colOff>476250</xdr:colOff>
      <xdr:row>1</xdr:row>
      <xdr:rowOff>47625</xdr:rowOff>
    </xdr:from>
    <xdr:to>
      <xdr:col>0</xdr:col>
      <xdr:colOff>994650</xdr:colOff>
      <xdr:row>3</xdr:row>
      <xdr:rowOff>110302</xdr:rowOff>
    </xdr:to>
    <xdr:pic>
      <xdr:nvPicPr>
        <xdr:cNvPr id="3" name="Picture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47625"/>
          <a:ext cx="518400" cy="548452"/>
        </a:xfrm>
        <a:prstGeom prst="rect">
          <a:avLst/>
        </a:prstGeom>
      </xdr:spPr>
    </xdr:pic>
    <xdr:clientData/>
  </xdr:twoCellAnchor>
</xdr:wsDr>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Active" sourceName="Active">
  <extLst>
    <x:ext xmlns:x15="http://schemas.microsoft.com/office/spreadsheetml/2010/11/main" uri="{2F2917AC-EB37-4324-AD4E-5DD8C200BD13}">
      <x15:tableSlicerCache tableId="17" column="11"/>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Experiment_Title" sourceName="Name">
  <extLst>
    <x:ext xmlns:x15="http://schemas.microsoft.com/office/spreadsheetml/2010/11/main" uri="{2F2917AC-EB37-4324-AD4E-5DD8C200BD13}">
      <x15:tableSlicerCache tableId="17" column="1"/>
    </x:ex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Active711111" sourceName="Active">
  <extLst>
    <x:ext xmlns:x15="http://schemas.microsoft.com/office/spreadsheetml/2010/11/main" uri="{2F2917AC-EB37-4324-AD4E-5DD8C200BD13}">
      <x15:tableSlicerCache tableId="2" column="8"/>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Active71111111" sourceName="Active">
  <extLst>
    <x:ext xmlns:x15="http://schemas.microsoft.com/office/spreadsheetml/2010/11/main" uri="{2F2917AC-EB37-4324-AD4E-5DD8C200BD13}">
      <x15:tableSlicerCache tableId="4" column="8"/>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Active711111111" sourceName="Active">
  <extLst>
    <x:ext xmlns:x15="http://schemas.microsoft.com/office/spreadsheetml/2010/11/main" uri="{2F2917AC-EB37-4324-AD4E-5DD8C200BD13}">
      <x15:tableSlicerCache tableId="5" column="8"/>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Active71111111111" sourceName="Active">
  <extLst>
    <x:ext xmlns:x15="http://schemas.microsoft.com/office/spreadsheetml/2010/11/main" uri="{2F2917AC-EB37-4324-AD4E-5DD8C200BD13}">
      <x15:tableSlicerCache tableId="7" column="8"/>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Active711111111111" sourceName="Active">
  <extLst>
    <x:ext xmlns:x15="http://schemas.microsoft.com/office/spreadsheetml/2010/11/main" uri="{2F2917AC-EB37-4324-AD4E-5DD8C200BD13}">
      <x15:tableSlicerCache tableId="8" column="8"/>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Active7111111111111" sourceName="Active">
  <extLst>
    <x:ext xmlns:x15="http://schemas.microsoft.com/office/spreadsheetml/2010/11/main" uri="{2F2917AC-EB37-4324-AD4E-5DD8C200BD13}">
      <x15:tableSlicerCache tableId="9" column="8"/>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Active71111111111111" sourceName="Active">
  <extLst>
    <x:ext xmlns:x15="http://schemas.microsoft.com/office/spreadsheetml/2010/11/main" uri="{2F2917AC-EB37-4324-AD4E-5DD8C200BD13}">
      <x15:tableSlicerCache tableId="10" column="8"/>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Active7111111" sourceName="Active">
  <extLst>
    <x:ext xmlns:x15="http://schemas.microsoft.com/office/spreadsheetml/2010/11/main" uri="{2F2917AC-EB37-4324-AD4E-5DD8C200BD13}">
      <x15:tableSlicerCache tableId="3" column="8"/>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Active7111112" sourceName="Active">
  <extLst>
    <x:ext xmlns:x15="http://schemas.microsoft.com/office/spreadsheetml/2010/11/main" uri="{2F2917AC-EB37-4324-AD4E-5DD8C200BD13}">
      <x15:tableSlicerCache tableId="11" column="8"/>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Active71111121" sourceName="Active">
  <extLst>
    <x:ext xmlns:x15="http://schemas.microsoft.com/office/spreadsheetml/2010/11/main" uri="{2F2917AC-EB37-4324-AD4E-5DD8C200BD13}">
      <x15:tableSlicerCache tableId="1" column="8"/>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Active" cache="Slicer_Active" caption="Active" columnCount="3" style="SlicerStyleDark2" rowHeight="182880"/>
  <slicer name="Experiment Title" cache="Slicer_Experiment_Title" caption="Name" columnCount="3" style="SlicerStyleDark2" rowHeight="182880"/>
</slicers>
</file>

<file path=xl/slicers/slicer2.xml><?xml version="1.0" encoding="utf-8"?>
<slicers xmlns="http://schemas.microsoft.com/office/spreadsheetml/2009/9/main" xmlns:mc="http://schemas.openxmlformats.org/markup-compatibility/2006" xmlns:x="http://schemas.openxmlformats.org/spreadsheetml/2006/main" mc:Ignorable="x">
  <slicer name="Active 20" cache="Slicer_Active7111111" caption="Active" style="SlicerStyleLight2" rowHeight="234950"/>
</slicers>
</file>

<file path=xl/slicers/slicer3.xml><?xml version="1.0" encoding="utf-8"?>
<slicers xmlns="http://schemas.microsoft.com/office/spreadsheetml/2009/9/main" xmlns:mc="http://schemas.openxmlformats.org/markup-compatibility/2006" xmlns:x="http://schemas.openxmlformats.org/spreadsheetml/2006/main" mc:Ignorable="x">
  <slicer name="Active 21" cache="Slicer_Active71111111" caption="Active" style="SlicerStyleLight2" rowHeight="234950"/>
</slicers>
</file>

<file path=xl/slicers/slicer4.xml><?xml version="1.0" encoding="utf-8"?>
<slicers xmlns="http://schemas.microsoft.com/office/spreadsheetml/2009/9/main" xmlns:mc="http://schemas.openxmlformats.org/markup-compatibility/2006" xmlns:x="http://schemas.openxmlformats.org/spreadsheetml/2006/main" mc:Ignorable="x">
  <slicer name="Active 27" cache="Slicer_Active71111111111111" caption="Active" style="SlicerStyleLight2" rowHeight="234950"/>
</slicers>
</file>

<file path=xl/slicers/slicer5.xml><?xml version="1.0" encoding="utf-8"?>
<slicers xmlns="http://schemas.microsoft.com/office/spreadsheetml/2009/9/main" xmlns:mc="http://schemas.openxmlformats.org/markup-compatibility/2006" xmlns:x="http://schemas.openxmlformats.org/spreadsheetml/2006/main" mc:Ignorable="x">
  <slicer name="Active 22" cache="Slicer_Active711111111" caption="Active" style="SlicerStyleLight2" rowHeight="234950"/>
</slicers>
</file>

<file path=xl/slicers/slicer6.xml><?xml version="1.0" encoding="utf-8"?>
<slicers xmlns="http://schemas.microsoft.com/office/spreadsheetml/2009/9/main" xmlns:mc="http://schemas.openxmlformats.org/markup-compatibility/2006" xmlns:x="http://schemas.openxmlformats.org/spreadsheetml/2006/main" mc:Ignorable="x">
  <slicer name="Active 26" cache="Slicer_Active7111111111111" caption="Active" style="SlicerStyleLight2" rowHeight="234950"/>
</slicers>
</file>

<file path=xl/slicers/slicer7.xml><?xml version="1.0" encoding="utf-8"?>
<slicers xmlns="http://schemas.microsoft.com/office/spreadsheetml/2009/9/main" xmlns:mc="http://schemas.openxmlformats.org/markup-compatibility/2006" xmlns:x="http://schemas.openxmlformats.org/spreadsheetml/2006/main" mc:Ignorable="x">
  <slicer name="Active 24" cache="Slicer_Active71111111111" caption="Active" style="SlicerStyleLight2" rowHeight="234950"/>
</slicers>
</file>

<file path=xl/slicers/slicer8.xml><?xml version="1.0" encoding="utf-8"?>
<slicers xmlns="http://schemas.microsoft.com/office/spreadsheetml/2009/9/main" xmlns:mc="http://schemas.openxmlformats.org/markup-compatibility/2006" xmlns:x="http://schemas.openxmlformats.org/spreadsheetml/2006/main" mc:Ignorable="x">
  <slicer name="Active 25" cache="Slicer_Active711111111111" caption="Active" style="SlicerStyleLight2" rowHeight="234950"/>
</slicers>
</file>

<file path=xl/slicers/slicer9.xml><?xml version="1.0" encoding="utf-8"?>
<slicers xmlns="http://schemas.microsoft.com/office/spreadsheetml/2009/9/main" xmlns:mc="http://schemas.openxmlformats.org/markup-compatibility/2006" xmlns:x="http://schemas.openxmlformats.org/spreadsheetml/2006/main" mc:Ignorable="x">
  <slicer name="Active 19" cache="Slicer_Active711111" caption="Active" style="SlicerStyleLight2" rowHeight="234950"/>
</slicers>
</file>

<file path=xl/slicers/slicer10.xml><?xml version="1.0" encoding="utf-8"?>
<slicers xmlns="http://schemas.microsoft.com/office/spreadsheetml/2009/9/main" xmlns:mc="http://schemas.openxmlformats.org/markup-compatibility/2006" xmlns:x="http://schemas.openxmlformats.org/spreadsheetml/2006/main" mc:Ignorable="x">
  <slicer name="Active 23" cache="Slicer_Active7111112" caption="Active" style="SlicerStyleLight2" rowHeight="234950"/>
</slicers>
</file>

<file path=xl/slicers/slicer11.xml><?xml version="1.0" encoding="utf-8"?>
<slicers xmlns="http://schemas.microsoft.com/office/spreadsheetml/2009/9/main" xmlns:mc="http://schemas.openxmlformats.org/markup-compatibility/2006" xmlns:x="http://schemas.openxmlformats.org/spreadsheetml/2006/main" mc:Ignorable="x">
  <slicer name="Active 28" cache="Slicer_Active71111121" caption="Active" style="SlicerStyleLight2" rowHeight="234950"/>
</slicers>
</file>

<file path=xl/tables/table1.xml><?xml version="1.0" encoding="utf-8"?>
<table xmlns="http://schemas.openxmlformats.org/spreadsheetml/2006/main" id="17" name="Experiments" displayName="Experiments" ref="B8:O18" totalsRowShown="0" headerRowDxfId="238" dataDxfId="237">
  <autoFilter ref="B8:O18"/>
  <sortState ref="B9:N9">
    <sortCondition ref="E8:E9"/>
  </sortState>
  <tableColumns count="14">
    <tableColumn id="16" name="V" dataDxfId="236">
      <calculatedColumnFormula>IF(Experiments[[#This Row],[Active]]=TRUE,1,0)</calculatedColumnFormula>
    </tableColumn>
    <tableColumn id="11" name="Active" dataDxfId="235"/>
    <tableColumn id="2" name="Code" dataDxfId="234"/>
    <tableColumn id="1" name="Name" dataDxfId="233"/>
    <tableColumn id="13" name="Description" dataDxfId="232"/>
    <tableColumn id="7" name="Currency" dataDxfId="231"/>
    <tableColumn id="10" name="Auto Stop" dataDxfId="230"/>
    <tableColumn id="3" name="Iterations" dataDxfId="229"/>
    <tableColumn id="5" name="Maximum Run Duration" dataDxfId="228"/>
    <tableColumn id="6" name="Exchange Rate" dataDxfId="227"/>
    <tableColumn id="8" name="Year" dataDxfId="226"/>
    <tableColumn id="9" name="Month" dataDxfId="225"/>
    <tableColumn id="12" name="Factor (Barrel)" dataDxfId="224"/>
    <tableColumn id="14" name="ID" dataDxfId="223"/>
  </tableColumns>
  <tableStyleInfo name="TableStyleLight10" showFirstColumn="0" showLastColumn="0" showRowStripes="1" showColumnStripes="0"/>
</table>
</file>

<file path=xl/tables/table2.xml><?xml version="1.0" encoding="utf-8"?>
<table xmlns="http://schemas.openxmlformats.org/spreadsheetml/2006/main" id="3" name="Shippers" displayName="Shippers" ref="B4:G52" totalsRowShown="0" headerRowDxfId="219" dataDxfId="218">
  <autoFilter ref="B4:G52"/>
  <tableColumns count="6">
    <tableColumn id="14" name="L" dataDxfId="217" totalsRowDxfId="216">
      <calculatedColumnFormula>IF(Shippers[[#This Row],[Active]]=TRUE,1,0)</calculatedColumnFormula>
    </tableColumn>
    <tableColumn id="8" name="Active" dataDxfId="215" totalsRowDxfId="214"/>
    <tableColumn id="16" name="Code" dataDxfId="213"/>
    <tableColumn id="17" name="Name" dataDxfId="212"/>
    <tableColumn id="1" name="Comments" dataDxfId="211"/>
    <tableColumn id="10" name="ID" dataDxfId="210"/>
  </tableColumns>
  <tableStyleInfo name="TableStyleLight10" showFirstColumn="0" showLastColumn="0" showRowStripes="1" showColumnStripes="0"/>
</table>
</file>

<file path=xl/tables/table3.xml><?xml version="1.0" encoding="utf-8"?>
<table xmlns="http://schemas.openxmlformats.org/spreadsheetml/2006/main" id="4" name="Sites" displayName="Sites" ref="B4:M122" totalsRowShown="0" headerRowDxfId="206" dataDxfId="205">
  <autoFilter ref="B4:M122"/>
  <tableColumns count="12">
    <tableColumn id="14" name="L" dataDxfId="204" totalsRowDxfId="203">
      <calculatedColumnFormula>IF(Sites[[#This Row],[Active]]=TRUE,1,0)</calculatedColumnFormula>
    </tableColumn>
    <tableColumn id="8" name="Active" dataDxfId="202" totalsRowDxfId="201"/>
    <tableColumn id="16" name="Code" dataDxfId="200"/>
    <tableColumn id="17" name="Name" dataDxfId="199"/>
    <tableColumn id="18" name="Shipper" dataDxfId="198"/>
    <tableColumn id="1" name="X" dataDxfId="197"/>
    <tableColumn id="21" name="Y" dataDxfId="196"/>
    <tableColumn id="2" name="Z" dataDxfId="195"/>
    <tableColumn id="3" name="Address" dataDxfId="194"/>
    <tableColumn id="4" name="Comments" dataDxfId="193"/>
    <tableColumn id="5" name="ShipperID" dataDxfId="192">
      <calculatedColumnFormula>IF(Sites[[#This Row],[Shipper]]="","",INDEX(Shippers[ID],MATCH(Sites[[#This Row],[Shipper]],Shippers[Code],0)))</calculatedColumnFormula>
    </tableColumn>
    <tableColumn id="10" name="ID" dataDxfId="191"/>
  </tableColumns>
  <tableStyleInfo name="TableStyleLight10" showFirstColumn="0" showLastColumn="0" showRowStripes="1" showColumnStripes="0"/>
</table>
</file>

<file path=xl/tables/table4.xml><?xml version="1.0" encoding="utf-8"?>
<table xmlns="http://schemas.openxmlformats.org/spreadsheetml/2006/main" id="10" name="Streams" displayName="Streams" ref="B4:M12" totalsRowShown="0" headerRowDxfId="187" dataDxfId="186">
  <autoFilter ref="B4:M12"/>
  <tableColumns count="12">
    <tableColumn id="14" name="L" dataDxfId="185" totalsRowDxfId="184">
      <calculatedColumnFormula>IF(Streams[[#This Row],[Active]]=TRUE,1,0)</calculatedColumnFormula>
    </tableColumn>
    <tableColumn id="8" name="Active" dataDxfId="183" totalsRowDxfId="182"/>
    <tableColumn id="16" name="Code" dataDxfId="181"/>
    <tableColumn id="2" name="Name" dataDxfId="180"/>
    <tableColumn id="20" name="Shipper" dataDxfId="179"/>
    <tableColumn id="21" name="Site" dataDxfId="178"/>
    <tableColumn id="4" name="Destination Shipper" dataDxfId="177"/>
    <tableColumn id="3" name="Destination Site" dataDxfId="176"/>
    <tableColumn id="22" name="Transport Method" dataDxfId="175"/>
    <tableColumn id="1" name="Comments" dataDxfId="174"/>
    <tableColumn id="5" name="Experiment" dataDxfId="173"/>
    <tableColumn id="10" name="ID" dataDxfId="172"/>
  </tableColumns>
  <tableStyleInfo name="TableStyleLight10" showFirstColumn="0" showLastColumn="0" showRowStripes="1" showColumnStripes="0"/>
</table>
</file>

<file path=xl/tables/table5.xml><?xml version="1.0" encoding="utf-8"?>
<table xmlns="http://schemas.openxmlformats.org/spreadsheetml/2006/main" id="5" name="ProductCosts" displayName="ProductCosts" ref="B4:S9" totalsRowShown="0" headerRowDxfId="168" dataDxfId="167">
  <autoFilter ref="B4:S9"/>
  <sortState ref="B5:T5">
    <sortCondition ref="D4:D5"/>
  </sortState>
  <tableColumns count="18">
    <tableColumn id="14" name="L" dataDxfId="166" totalsRowDxfId="165">
      <calculatedColumnFormula>IF(ProductCosts[[#This Row],[Active]]=TRUE,1,0)</calculatedColumnFormula>
    </tableColumn>
    <tableColumn id="8" name="Active" dataDxfId="164" totalsRowDxfId="163"/>
    <tableColumn id="16" name="Code" dataDxfId="162"/>
    <tableColumn id="17" name="Material Type" dataDxfId="161"/>
    <tableColumn id="18" name="Cost Rule" dataDxfId="160"/>
    <tableColumn id="13" name="Reference Commodity" dataDxfId="159"/>
    <tableColumn id="3" name="Cost" dataDxfId="158"/>
    <tableColumn id="2" name="Currency" dataDxfId="157"/>
    <tableColumn id="1" name="Unit" dataDxfId="156"/>
    <tableColumn id="4" name="Minimum Density" dataDxfId="155"/>
    <tableColumn id="11" name="Maximum Density" dataDxfId="154"/>
    <tableColumn id="9" name="Minimum Sulfur" dataDxfId="153"/>
    <tableColumn id="7" name="Maximum Sulfur" dataDxfId="152"/>
    <tableColumn id="6" name="Minimum TVP" dataDxfId="151"/>
    <tableColumn id="12" name="Maximum TVP" dataDxfId="150"/>
    <tableColumn id="21" name="Order" dataDxfId="149"/>
    <tableColumn id="5" name="Experiment"/>
    <tableColumn id="10" name="ID" dataDxfId="148"/>
  </tableColumns>
  <tableStyleInfo name="TableStyleLight10" showFirstColumn="0" showLastColumn="0" showRowStripes="1" showColumnStripes="0"/>
</table>
</file>

<file path=xl/tables/table6.xml><?xml version="1.0" encoding="utf-8"?>
<table xmlns="http://schemas.openxmlformats.org/spreadsheetml/2006/main" id="9" name="Nominations" displayName="Nominations" ref="B4:AA30" totalsRowShown="0" headerRowDxfId="140" dataDxfId="139">
  <autoFilter ref="B4:AA30"/>
  <tableColumns count="26">
    <tableColumn id="14" name="L" dataDxfId="138" totalsRowDxfId="137">
      <calculatedColumnFormula>IF(Nominations[[#This Row],[Active]]=TRUE,1,0)</calculatedColumnFormula>
    </tableColumn>
    <tableColumn id="8" name="Active" dataDxfId="136" totalsRowDxfId="135"/>
    <tableColumn id="16" name="Code" dataDxfId="134"/>
    <tableColumn id="4" name="Blending Order" dataDxfId="133"/>
    <tableColumn id="3" name="Shipper" dataDxfId="132"/>
    <tableColumn id="2" name="Site" dataDxfId="131"/>
    <tableColumn id="9" name="Commodity" dataDxfId="130"/>
    <tableColumn id="13" name="Transport Method" dataDxfId="129"/>
    <tableColumn id="17" name="Battery Calculation" dataDxfId="128"/>
    <tableColumn id="22" name="Nomination" dataDxfId="127"/>
    <tableColumn id="21" name="Minimum Nomination" dataDxfId="126"/>
    <tableColumn id="20" name="Maximum Nomination" dataDxfId="125"/>
    <tableColumn id="19" name="Density" dataDxfId="124"/>
    <tableColumn id="24" name="Sulphur" dataDxfId="123"/>
    <tableColumn id="23" name="Viscosity" dataDxfId="122"/>
    <tableColumn id="12" name="TVP" dataDxfId="121"/>
    <tableColumn id="11" name="RVP" dataDxfId="120"/>
    <tableColumn id="7" name="Premium" dataDxfId="119"/>
    <tableColumn id="6" name="Premium Currency" dataDxfId="118"/>
    <tableColumn id="1" name="Premium Unit" dataDxfId="117"/>
    <tableColumn id="15" name="Priority" dataDxfId="116"/>
    <tableColumn id="18" name="Nomination Variability" dataDxfId="115"/>
    <tableColumn id="25" name="Blending Charge" dataDxfId="114"/>
    <tableColumn id="26" name="Step" dataDxfId="113"/>
    <tableColumn id="5" name="Experiment" dataDxfId="112"/>
    <tableColumn id="10" name="ID" dataDxfId="111"/>
  </tableColumns>
  <tableStyleInfo name="TableStyleLight10" showFirstColumn="0" showLastColumn="0" showRowStripes="1" showColumnStripes="0"/>
</table>
</file>

<file path=xl/tables/table7.xml><?xml version="1.0" encoding="utf-8"?>
<table xmlns="http://schemas.openxmlformats.org/spreadsheetml/2006/main" id="7" name="Tariff" displayName="Tariff" ref="B4:T17" totalsRowShown="0" headerRowDxfId="99" dataDxfId="98">
  <autoFilter ref="B4:T17"/>
  <sortState ref="B5:T5">
    <sortCondition ref="I4:I5"/>
  </sortState>
  <tableColumns count="19">
    <tableColumn id="14" name="L" dataDxfId="97" totalsRowDxfId="96">
      <calculatedColumnFormula>IF(Tariff[[#This Row],[Active]]=TRUE,1,0)</calculatedColumnFormula>
    </tableColumn>
    <tableColumn id="8" name="Active" dataDxfId="95" totalsRowDxfId="94"/>
    <tableColumn id="4" name="Code" dataDxfId="93"/>
    <tableColumn id="3" name="Tariff Type" dataDxfId="92"/>
    <tableColumn id="2" name="Value" dataDxfId="91"/>
    <tableColumn id="7" name="Currency" dataDxfId="90"/>
    <tableColumn id="6" name="Exclude Commodities" dataDxfId="89"/>
    <tableColumn id="11" name="Excluded Commodity List" dataDxfId="88"/>
    <tableColumn id="9" name="Exclude Material Types" dataDxfId="87"/>
    <tableColumn id="5" name="Exclude Transport Methods" dataDxfId="86"/>
    <tableColumn id="13" name="Exclude Shippers" dataDxfId="85"/>
    <tableColumn id="12" name="Exclude Sites" dataDxfId="84"/>
    <tableColumn id="19" name="From Shipper" dataDxfId="83"/>
    <tableColumn id="1" name="From Shipper Site" dataDxfId="82"/>
    <tableColumn id="15" name="To Shipper" dataDxfId="81"/>
    <tableColumn id="16" name="To Shipper Site" dataDxfId="80"/>
    <tableColumn id="17" name="Comments" dataDxfId="79"/>
    <tableColumn id="18" name="Experiment" dataDxfId="78"/>
    <tableColumn id="10" name="ID" dataDxfId="77"/>
  </tableColumns>
  <tableStyleInfo name="TableStyleLight10" showFirstColumn="0" showLastColumn="0" showRowStripes="1" showColumnStripes="0"/>
</table>
</file>

<file path=xl/tables/table8.xml><?xml version="1.0" encoding="utf-8"?>
<table xmlns="http://schemas.openxmlformats.org/spreadsheetml/2006/main" id="8" name="FacilityDep" displayName="FacilityDep" ref="B4:L12" totalsRowShown="0" headerRowDxfId="73" dataDxfId="72">
  <autoFilter ref="B4:L12"/>
  <tableColumns count="11">
    <tableColumn id="14" name="L" dataDxfId="71" totalsRowDxfId="70">
      <calculatedColumnFormula>IF(FacilityDep[[#This Row],[Active]]=TRUE,1,0)</calculatedColumnFormula>
    </tableColumn>
    <tableColumn id="8" name="Active" dataDxfId="69" totalsRowDxfId="68"/>
    <tableColumn id="16" name="Code" dataDxfId="67"/>
    <tableColumn id="4" name="Facility" dataDxfId="66"/>
    <tableColumn id="3" name="Dependency" dataDxfId="65"/>
    <tableColumn id="2" name="Type" dataDxfId="64"/>
    <tableColumn id="1" name="Value" dataDxfId="63"/>
    <tableColumn id="7" name="Start Date" dataDxfId="62"/>
    <tableColumn id="6" name="End Date" dataDxfId="61"/>
    <tableColumn id="5" name="Experiment" dataDxfId="60"/>
    <tableColumn id="10" name="ID" dataDxfId="59"/>
  </tableColumns>
  <tableStyleInfo name="TableStyleLight10" showFirstColumn="0" showLastColumn="0" showRowStripes="1" showColumnStripes="0"/>
</table>
</file>

<file path=xl/tables/table9.xml><?xml version="1.0" encoding="utf-8"?>
<table xmlns="http://schemas.openxmlformats.org/spreadsheetml/2006/main" id="2" name="OutflowConstraints" displayName="OutflowConstraints" ref="B4:M9" totalsRowShown="0" headerRowDxfId="49" dataDxfId="48">
  <autoFilter ref="B4:M9"/>
  <sortState ref="B5:M5">
    <sortCondition descending="1" ref="C4:C5"/>
  </sortState>
  <tableColumns count="12">
    <tableColumn id="14" name="L" dataDxfId="47" totalsRowDxfId="46">
      <calculatedColumnFormula>IF(OutflowConstraints[[#This Row],[Active]]=TRUE,1,0)</calculatedColumnFormula>
    </tableColumn>
    <tableColumn id="8" name="Active" dataDxfId="45" totalsRowDxfId="44"/>
    <tableColumn id="16" name="Code" dataDxfId="43"/>
    <tableColumn id="17" name="Constraint Type" dataDxfId="42"/>
    <tableColumn id="18" name="Site"/>
    <tableColumn id="12" name="Stream" dataDxfId="41"/>
    <tableColumn id="13" name="Minimum Capacity On" dataDxfId="40"/>
    <tableColumn id="19" name="Minimum Capacity"/>
    <tableColumn id="11" name="Maximum Limit" dataDxfId="39"/>
    <tableColumn id="5" name="Maximum Capacity"/>
    <tableColumn id="9" name="Experiment" dataDxfId="38"/>
    <tableColumn id="10" name="ID" dataDxfId="37"/>
  </tableColumns>
  <tableStyleInfo name="TableStyleLight10" showFirstColumn="0" showLastColumn="0" showRowStripes="1" showColumnStripes="0"/>
</table>
</file>

<file path=xl/tables/table10.xml><?xml version="1.0" encoding="utf-8"?>
<table xmlns="http://schemas.openxmlformats.org/spreadsheetml/2006/main" id="11" name="Stream2Experiment" displayName="Stream2Experiment" ref="B4:H5" totalsRowShown="0" headerRowDxfId="33" dataDxfId="32">
  <autoFilter ref="B4:H5"/>
  <sortState ref="B5:H5">
    <sortCondition descending="1" ref="C4:C5"/>
  </sortState>
  <tableColumns count="7">
    <tableColumn id="14" name="L" dataDxfId="31" totalsRowDxfId="30">
      <calculatedColumnFormula>IF(Stream2Experiment[[#This Row],[Active]]=TRUE,1,0)</calculatedColumnFormula>
    </tableColumn>
    <tableColumn id="8" name="Active" dataDxfId="29" totalsRowDxfId="28"/>
    <tableColumn id="2" name="Code" totalsRowDxfId="27"/>
    <tableColumn id="12" name="Stream"/>
    <tableColumn id="1" name="Comments" dataDxfId="26"/>
    <tableColumn id="9" name="Experiment" dataDxfId="25"/>
    <tableColumn id="10" name="ID" dataDxfId="24"/>
  </tableColumns>
  <tableStyleInfo name="TableStyleLight10" showFirstColumn="0" showLastColumn="0" showRowStripes="1" showColumnStripes="0"/>
</table>
</file>

<file path=xl/tables/table11.xml><?xml version="1.0" encoding="utf-8"?>
<table xmlns="http://schemas.openxmlformats.org/spreadsheetml/2006/main" id="1" name="TotalInflowConstraints" displayName="TotalInflowConstraints" ref="B4:L5" totalsRowShown="0" headerRowDxfId="14" dataDxfId="13">
  <autoFilter ref="B4:L5"/>
  <sortState ref="B5:L5">
    <sortCondition descending="1" ref="C4:C5"/>
  </sortState>
  <tableColumns count="11">
    <tableColumn id="14" name="L" dataDxfId="12" totalsRowDxfId="11">
      <calculatedColumnFormula>IF(TotalInflowConstraints[[#This Row],[Active]]=TRUE,1,0)</calculatedColumnFormula>
    </tableColumn>
    <tableColumn id="8" name="Active" dataDxfId="10" totalsRowDxfId="9"/>
    <tableColumn id="2" name="Code" totalsRowDxfId="8"/>
    <tableColumn id="3" name="Site" totalsRowDxfId="7"/>
    <tableColumn id="4" name="Constraint Type" totalsRowDxfId="6"/>
    <tableColumn id="12" name="Minimum Limit" dataDxfId="5"/>
    <tableColumn id="5" name="Minimum Capacity"/>
    <tableColumn id="6" name="Maximum Limit" dataDxfId="4"/>
    <tableColumn id="7" name="Maximum Capacity"/>
    <tableColumn id="9" name="Experiment" dataDxfId="3"/>
    <tableColumn id="10" name="ID" dataDxfId="2"/>
  </tableColumns>
  <tableStyleInfo name="TableStyleLight10" showFirstColumn="0" showLastColumn="0" showRowStripes="1" showColumnStripes="0"/>
</table>
</file>

<file path=xl/tables/table12.xml><?xml version="1.0" encoding="utf-8"?>
<table xmlns="http://schemas.openxmlformats.org/spreadsheetml/2006/main" id="19" name="VarList" displayName="VarList" ref="B3:C7" totalsRowShown="0" headerRowDxfId="1">
  <autoFilter ref="B3:C7"/>
  <tableColumns count="2">
    <tableColumn id="1" name="Variable"/>
    <tableColumn id="3" name="Value"/>
  </tableColumns>
  <tableStyleInfo name="TableStyleLight10" showFirstColumn="0" showLastColumn="0" showRowStripes="0" showColumnStripes="0"/>
</table>
</file>

<file path=xl/tables/table13.xml><?xml version="1.0" encoding="utf-8"?>
<table xmlns="http://schemas.openxmlformats.org/spreadsheetml/2006/main" id="6" name="TransportMethods" displayName="TransportMethods" ref="E3:N7" totalsRowShown="0" headerRowDxfId="0">
  <autoFilter ref="E3:N7"/>
  <tableColumns count="10">
    <tableColumn id="1" name="Active"/>
    <tableColumn id="2" name="Code"/>
    <tableColumn id="3" name="Name"/>
    <tableColumn id="4" name="Size"/>
    <tableColumn id="5" name="MinSize"/>
    <tableColumn id="6" name="MaxSize"/>
    <tableColumn id="7" name="DefaultStep"/>
    <tableColumn id="8" name="optVarType"/>
    <tableColumn id="9" name="Comments"/>
    <tableColumn id="10" name="ID"/>
  </tableColumns>
  <tableStyleInfo name="TableStyleLight10"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microsoft.com/office/2007/relationships/slicer" Target="../slicers/slicer1.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microsoft.com/office/2007/relationships/slicer" Target="../slicers/slicer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microsoft.com/office/2007/relationships/slicer" Target="../slicers/slicer3.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microsoft.com/office/2007/relationships/slicer" Target="../slicers/slicer4.xml"/></Relationships>
</file>

<file path=xl/worksheets/_rels/sheet5.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microsoft.com/office/2007/relationships/slicer" Target="../slicers/slicer5.xml"/></Relationships>
</file>

<file path=xl/worksheets/_rels/sheet6.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microsoft.com/office/2007/relationships/slicer" Target="../slicers/slicer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microsoft.com/office/2007/relationships/slicer" Target="../slicers/slicer7.xml"/></Relationships>
</file>

<file path=xl/worksheets/_rels/sheet8.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microsoft.com/office/2007/relationships/slicer" Target="../slicers/slicer8.xml"/></Relationships>
</file>

<file path=xl/worksheets/_rels/sheet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microsoft.com/office/2007/relationships/slicer" Target="../slicers/slicer9.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microsoft.com/office/2007/relationships/slicer" Target="../slicers/slicer10.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drawing" Target="../drawings/drawing11.xml"/><Relationship Id="rId1" Type="http://schemas.openxmlformats.org/officeDocument/2006/relationships/printerSettings" Target="../printerSettings/printerSettings11.bin"/><Relationship Id="rId4" Type="http://schemas.microsoft.com/office/2007/relationships/slicer" Target="../slicers/slicer11.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table" Target="../tables/table12.x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B1:P18"/>
  <sheetViews>
    <sheetView showGridLines="0" zoomScaleNormal="100" workbookViewId="0">
      <selection activeCell="H20" sqref="H20"/>
    </sheetView>
  </sheetViews>
  <sheetFormatPr defaultRowHeight="15"/>
  <cols>
    <col min="1" max="1" width="2.7109375" customWidth="1"/>
    <col min="2" max="2" width="6.85546875" customWidth="1"/>
    <col min="3" max="3" width="11.140625" customWidth="1"/>
    <col min="4" max="4" width="15.7109375" bestFit="1" customWidth="1"/>
    <col min="5" max="5" width="32.140625" customWidth="1"/>
    <col min="6" max="6" width="21.5703125" bestFit="1" customWidth="1"/>
    <col min="7" max="7" width="14.28515625" bestFit="1" customWidth="1"/>
    <col min="8" max="8" width="13.7109375" bestFit="1" customWidth="1"/>
    <col min="9" max="9" width="29" bestFit="1" customWidth="1"/>
    <col min="10" max="10" width="15.42578125" customWidth="1"/>
    <col min="11" max="11" width="18.42578125" bestFit="1" customWidth="1"/>
    <col min="12" max="12" width="9.5703125" bestFit="1" customWidth="1"/>
    <col min="13" max="13" width="11.5703125" bestFit="1" customWidth="1"/>
    <col min="14" max="14" width="18.28515625" bestFit="1" customWidth="1"/>
    <col min="15" max="15" width="7.42578125" bestFit="1" customWidth="1"/>
  </cols>
  <sheetData>
    <row r="1" spans="2:16" s="2" customFormat="1" ht="57" customHeight="1" thickBot="1">
      <c r="F1" s="2" t="s">
        <v>50</v>
      </c>
      <c r="P1" s="30"/>
    </row>
    <row r="2" spans="2:16" s="4" customFormat="1" ht="15.75" thickTop="1"/>
    <row r="3" spans="2:16" ht="20.45" customHeight="1">
      <c r="B3" s="80" t="s">
        <v>23</v>
      </c>
      <c r="C3" s="80"/>
      <c r="D3" s="80"/>
      <c r="E3" s="80"/>
      <c r="G3" s="3"/>
    </row>
    <row r="4" spans="2:16">
      <c r="B4" s="14"/>
      <c r="C4" s="14"/>
      <c r="D4" s="14"/>
      <c r="E4" s="14"/>
    </row>
    <row r="5" spans="2:16">
      <c r="B5" s="14"/>
      <c r="C5" s="14"/>
      <c r="D5" s="14"/>
      <c r="E5" s="14"/>
      <c r="F5" s="31"/>
      <c r="H5" s="11"/>
      <c r="I5" s="11"/>
      <c r="J5" s="11"/>
      <c r="K5" s="11"/>
      <c r="L5" s="11"/>
    </row>
    <row r="6" spans="2:16" ht="30.75" customHeight="1">
      <c r="B6" s="14"/>
      <c r="C6" s="14"/>
      <c r="D6" s="14"/>
      <c r="E6" s="14"/>
      <c r="F6" s="14"/>
      <c r="G6" s="1"/>
      <c r="H6" s="8"/>
      <c r="I6" s="9"/>
      <c r="J6" s="9"/>
      <c r="K6" s="6"/>
      <c r="L6" s="6"/>
    </row>
    <row r="7" spans="2:16">
      <c r="G7" s="1"/>
      <c r="H7" s="8"/>
      <c r="I7" s="9"/>
      <c r="J7" s="9"/>
      <c r="K7" s="6"/>
      <c r="L7" s="6"/>
    </row>
    <row r="8" spans="2:16" ht="30">
      <c r="B8" s="23" t="s">
        <v>10</v>
      </c>
      <c r="C8" s="17" t="s">
        <v>1</v>
      </c>
      <c r="D8" s="17" t="s">
        <v>0</v>
      </c>
      <c r="E8" s="17" t="s">
        <v>3</v>
      </c>
      <c r="F8" s="17" t="s">
        <v>5</v>
      </c>
      <c r="G8" s="17" t="s">
        <v>22</v>
      </c>
      <c r="H8" s="17" t="s">
        <v>43</v>
      </c>
      <c r="I8" s="17" t="s">
        <v>44</v>
      </c>
      <c r="J8" s="17" t="s">
        <v>45</v>
      </c>
      <c r="K8" s="17" t="s">
        <v>46</v>
      </c>
      <c r="L8" s="17" t="s">
        <v>47</v>
      </c>
      <c r="M8" s="17" t="s">
        <v>48</v>
      </c>
      <c r="N8" s="17" t="s">
        <v>49</v>
      </c>
      <c r="O8" s="17" t="s">
        <v>18</v>
      </c>
    </row>
    <row r="9" spans="2:16">
      <c r="B9" s="7">
        <f>IF(Experiments[[#This Row],[Active]]=TRUE,1,0)</f>
        <v>1</v>
      </c>
      <c r="C9" s="7" t="b">
        <v>1</v>
      </c>
      <c r="D9" s="21" t="s">
        <v>51</v>
      </c>
      <c r="E9" s="21" t="s">
        <v>52</v>
      </c>
      <c r="F9" s="21"/>
      <c r="G9" s="51" t="s">
        <v>25</v>
      </c>
      <c r="H9" s="51" t="b">
        <v>0</v>
      </c>
      <c r="I9" s="50">
        <v>1000</v>
      </c>
      <c r="J9" s="50">
        <v>5</v>
      </c>
      <c r="K9" s="50">
        <v>1.3438000000000001</v>
      </c>
      <c r="L9" s="50">
        <v>2016</v>
      </c>
      <c r="M9" s="50">
        <v>11</v>
      </c>
      <c r="N9" s="51">
        <v>6.2928699999999997</v>
      </c>
      <c r="O9" s="15">
        <v>1</v>
      </c>
    </row>
    <row r="10" spans="2:16">
      <c r="B10" s="7">
        <f>IF(Experiments[[#This Row],[Active]]=TRUE,1,0)</f>
        <v>1</v>
      </c>
      <c r="C10" s="7" t="b">
        <v>1</v>
      </c>
      <c r="D10" s="21" t="s">
        <v>53</v>
      </c>
      <c r="E10" s="21" t="s">
        <v>54</v>
      </c>
      <c r="F10" s="21"/>
      <c r="G10" s="51" t="s">
        <v>25</v>
      </c>
      <c r="H10" s="51" t="b">
        <v>0</v>
      </c>
      <c r="I10" s="50">
        <v>1000</v>
      </c>
      <c r="J10" s="50">
        <v>5</v>
      </c>
      <c r="K10" s="50">
        <v>1.3329</v>
      </c>
      <c r="L10" s="50">
        <v>2016</v>
      </c>
      <c r="M10" s="50">
        <v>12</v>
      </c>
      <c r="N10" s="51">
        <v>6.2928699999999997</v>
      </c>
      <c r="O10" s="15">
        <v>3</v>
      </c>
    </row>
    <row r="11" spans="2:16">
      <c r="B11" s="7">
        <f>IF(Experiments[[#This Row],[Active]]=TRUE,1,0)</f>
        <v>1</v>
      </c>
      <c r="C11" s="7" t="b">
        <v>1</v>
      </c>
      <c r="D11" s="21" t="s">
        <v>55</v>
      </c>
      <c r="E11" s="21" t="s">
        <v>56</v>
      </c>
      <c r="F11" s="21"/>
      <c r="G11" s="51" t="s">
        <v>25</v>
      </c>
      <c r="H11" s="51" t="b">
        <v>0</v>
      </c>
      <c r="I11" s="50">
        <v>1000</v>
      </c>
      <c r="J11" s="50">
        <v>5</v>
      </c>
      <c r="K11" s="50">
        <v>1.3190999999999999</v>
      </c>
      <c r="L11" s="50">
        <v>2017</v>
      </c>
      <c r="M11" s="50">
        <v>1</v>
      </c>
      <c r="N11" s="51">
        <v>6.2928699999999997</v>
      </c>
      <c r="O11" s="15">
        <v>5</v>
      </c>
    </row>
    <row r="12" spans="2:16">
      <c r="B12" s="7">
        <f>IF(Experiments[[#This Row],[Active]]=TRUE,1,0)</f>
        <v>1</v>
      </c>
      <c r="C12" s="7" t="b">
        <v>1</v>
      </c>
      <c r="D12" s="21" t="s">
        <v>57</v>
      </c>
      <c r="E12" s="21" t="s">
        <v>58</v>
      </c>
      <c r="F12" s="21"/>
      <c r="G12" s="51" t="s">
        <v>25</v>
      </c>
      <c r="H12" s="51" t="b">
        <v>0</v>
      </c>
      <c r="I12" s="50">
        <v>1000</v>
      </c>
      <c r="J12" s="50">
        <v>5</v>
      </c>
      <c r="K12" s="50">
        <v>1.3109999999999999</v>
      </c>
      <c r="L12" s="50">
        <v>2017</v>
      </c>
      <c r="M12" s="50">
        <v>2</v>
      </c>
      <c r="N12" s="51">
        <v>6.2928699999999997</v>
      </c>
      <c r="O12" s="15">
        <v>7</v>
      </c>
    </row>
    <row r="13" spans="2:16">
      <c r="B13" s="7">
        <f>IF(Experiments[[#This Row],[Active]]=TRUE,1,0)</f>
        <v>1</v>
      </c>
      <c r="C13" s="7" t="b">
        <v>1</v>
      </c>
      <c r="D13" s="21" t="s">
        <v>59</v>
      </c>
      <c r="E13" s="21" t="s">
        <v>60</v>
      </c>
      <c r="F13" s="21"/>
      <c r="G13" s="51" t="s">
        <v>25</v>
      </c>
      <c r="H13" s="51" t="b">
        <v>0</v>
      </c>
      <c r="I13" s="50">
        <v>1000</v>
      </c>
      <c r="J13" s="50">
        <v>5</v>
      </c>
      <c r="K13" s="50">
        <v>1.3248</v>
      </c>
      <c r="L13" s="50">
        <v>2017</v>
      </c>
      <c r="M13" s="50">
        <v>3</v>
      </c>
      <c r="N13" s="51">
        <v>6.2928699999999997</v>
      </c>
      <c r="O13" s="15">
        <v>11</v>
      </c>
    </row>
    <row r="14" spans="2:16">
      <c r="B14" s="7">
        <f>IF(Experiments[[#This Row],[Active]]=TRUE,1,0)</f>
        <v>1</v>
      </c>
      <c r="C14" s="7" t="b">
        <v>1</v>
      </c>
      <c r="D14" s="21" t="s">
        <v>61</v>
      </c>
      <c r="E14" s="21" t="s">
        <v>62</v>
      </c>
      <c r="F14" s="21"/>
      <c r="G14" s="51" t="s">
        <v>25</v>
      </c>
      <c r="H14" s="51" t="b">
        <v>0</v>
      </c>
      <c r="I14" s="50">
        <v>1000</v>
      </c>
      <c r="J14" s="50">
        <v>5</v>
      </c>
      <c r="K14" s="50">
        <v>1.3444</v>
      </c>
      <c r="L14" s="50">
        <v>2017</v>
      </c>
      <c r="M14" s="50">
        <v>4</v>
      </c>
      <c r="N14" s="51">
        <v>6.2928699999999997</v>
      </c>
      <c r="O14" s="15">
        <v>38</v>
      </c>
    </row>
    <row r="15" spans="2:16">
      <c r="B15" s="7">
        <f>IF(Experiments[[#This Row],[Active]]=TRUE,1,0)</f>
        <v>1</v>
      </c>
      <c r="C15" s="7" t="b">
        <v>1</v>
      </c>
      <c r="D15" s="21" t="s">
        <v>63</v>
      </c>
      <c r="E15" s="21" t="s">
        <v>64</v>
      </c>
      <c r="F15" s="21"/>
      <c r="G15" s="51" t="s">
        <v>25</v>
      </c>
      <c r="H15" s="51" t="b">
        <v>0</v>
      </c>
      <c r="I15" s="50">
        <v>1000</v>
      </c>
      <c r="J15" s="50">
        <v>5</v>
      </c>
      <c r="K15" s="50">
        <v>1.3444</v>
      </c>
      <c r="L15" s="50">
        <v>2017</v>
      </c>
      <c r="M15" s="50">
        <v>5</v>
      </c>
      <c r="N15" s="51">
        <v>6.2928699999999997</v>
      </c>
      <c r="O15" s="15">
        <v>39</v>
      </c>
    </row>
    <row r="16" spans="2:16">
      <c r="B16" s="7">
        <f>IF(Experiments[[#This Row],[Active]]=TRUE,1,0)</f>
        <v>1</v>
      </c>
      <c r="C16" s="7" t="b">
        <v>1</v>
      </c>
      <c r="D16" s="21" t="s">
        <v>65</v>
      </c>
      <c r="E16" s="21" t="s">
        <v>66</v>
      </c>
      <c r="F16" s="21"/>
      <c r="G16" s="51" t="s">
        <v>25</v>
      </c>
      <c r="H16" s="51" t="b">
        <v>0</v>
      </c>
      <c r="I16" s="50">
        <v>1000</v>
      </c>
      <c r="J16" s="50">
        <v>5</v>
      </c>
      <c r="K16" s="50">
        <v>1.3444</v>
      </c>
      <c r="L16" s="50">
        <v>2017</v>
      </c>
      <c r="M16" s="50">
        <v>6</v>
      </c>
      <c r="N16" s="51">
        <v>6.2928699999999997</v>
      </c>
      <c r="O16" s="15">
        <v>40</v>
      </c>
    </row>
    <row r="17" spans="2:15">
      <c r="B17" s="7">
        <f>IF(Experiments[[#This Row],[Active]]=TRUE,1,0)</f>
        <v>1</v>
      </c>
      <c r="C17" s="7" t="b">
        <v>1</v>
      </c>
      <c r="D17" s="21" t="s">
        <v>67</v>
      </c>
      <c r="E17" s="21" t="s">
        <v>68</v>
      </c>
      <c r="F17" s="21"/>
      <c r="G17" s="51" t="s">
        <v>25</v>
      </c>
      <c r="H17" s="51" t="b">
        <v>0</v>
      </c>
      <c r="I17" s="50">
        <v>1000</v>
      </c>
      <c r="J17" s="50">
        <v>5</v>
      </c>
      <c r="K17" s="50">
        <v>1.3444</v>
      </c>
      <c r="L17" s="50">
        <v>2017</v>
      </c>
      <c r="M17" s="50">
        <v>4</v>
      </c>
      <c r="N17" s="51">
        <v>6.2928699999999997</v>
      </c>
      <c r="O17" s="15">
        <v>41</v>
      </c>
    </row>
    <row r="18" spans="2:15">
      <c r="B18" s="7">
        <f>IF(Experiments[[#This Row],[Active]]=TRUE,1,0)</f>
        <v>1</v>
      </c>
      <c r="C18" s="7" t="b">
        <v>1</v>
      </c>
      <c r="D18" s="21" t="s">
        <v>69</v>
      </c>
      <c r="E18" s="21" t="s">
        <v>70</v>
      </c>
      <c r="F18" s="21"/>
      <c r="G18" s="51" t="s">
        <v>25</v>
      </c>
      <c r="H18" s="51" t="b">
        <v>0</v>
      </c>
      <c r="I18" s="50">
        <v>1000</v>
      </c>
      <c r="J18" s="50">
        <v>5</v>
      </c>
      <c r="K18" s="50">
        <v>1.3444</v>
      </c>
      <c r="L18" s="50">
        <v>2017</v>
      </c>
      <c r="M18" s="50">
        <v>4</v>
      </c>
      <c r="N18" s="51">
        <v>6.2928699999999997</v>
      </c>
      <c r="O18" s="15">
        <v>42</v>
      </c>
    </row>
  </sheetData>
  <dataConsolidate/>
  <mergeCells count="1">
    <mergeCell ref="B3:E3"/>
  </mergeCells>
  <conditionalFormatting sqref="N9:N18 B9:H18">
    <cfRule type="expression" dxfId="244" priority="13">
      <formula>$C9 = FALSE</formula>
    </cfRule>
  </conditionalFormatting>
  <conditionalFormatting sqref="C9:C18">
    <cfRule type="cellIs" dxfId="243" priority="34867" operator="equal">
      <formula>TRUE</formula>
    </cfRule>
    <cfRule type="cellIs" dxfId="242" priority="34868" operator="equal">
      <formula>FALSE</formula>
    </cfRule>
  </conditionalFormatting>
  <conditionalFormatting sqref="H9:H18">
    <cfRule type="cellIs" dxfId="241" priority="1" operator="equal">
      <formula>TRUE</formula>
    </cfRule>
    <cfRule type="cellIs" dxfId="240" priority="2" operator="equal">
      <formula>FALSE</formula>
    </cfRule>
  </conditionalFormatting>
  <conditionalFormatting sqref="D9:D18">
    <cfRule type="duplicateValues" dxfId="239" priority="42505"/>
  </conditionalFormatting>
  <dataValidations disablePrompts="1" count="3">
    <dataValidation type="list" allowBlank="1" showInputMessage="1" showErrorMessage="1" sqref="C9:C18">
      <formula1>"TRUE,FALSE"</formula1>
    </dataValidation>
    <dataValidation type="list" allowBlank="1" showInputMessage="1" showErrorMessage="1" sqref="H9:H18">
      <formula1>"TRUE, FALSE"</formula1>
    </dataValidation>
    <dataValidation type="list" showInputMessage="1" showErrorMessage="1" sqref="M9:M18">
      <formula1>"TRUE, FALSE"</formula1>
    </dataValidation>
  </dataValidations>
  <pageMargins left="0.70866141732283472" right="0.70866141732283472" top="0.74803149606299213" bottom="0.74803149606299213" header="0.31496062992125984" footer="0.31496062992125984"/>
  <pageSetup paperSize="5" scale="71" orientation="landscape" r:id="rId1"/>
  <headerFooter>
    <oddFooter>&amp;LDate Format: dd/mm/yyyy</oddFooter>
  </headerFooter>
  <drawing r:id="rId2"/>
  <legacyDrawing r:id="rId3"/>
  <controls>
    <mc:AlternateContent xmlns:mc="http://schemas.openxmlformats.org/markup-compatibility/2006">
      <mc:Choice Requires="x14">
        <control shapeId="4155" r:id="rId4" name="CommandButton6">
          <controlPr defaultSize="0" autoFill="0" autoLine="0" autoPict="0" r:id="rId5">
            <anchor>
              <from>
                <xdr:col>3</xdr:col>
                <xdr:colOff>723900</xdr:colOff>
                <xdr:row>5</xdr:row>
                <xdr:rowOff>47625</xdr:rowOff>
              </from>
              <to>
                <xdr:col>4</xdr:col>
                <xdr:colOff>514350</xdr:colOff>
                <xdr:row>5</xdr:row>
                <xdr:rowOff>295275</xdr:rowOff>
              </to>
            </anchor>
          </controlPr>
        </control>
      </mc:Choice>
      <mc:Fallback>
        <control shapeId="4155" r:id="rId4" name="CommandButton6"/>
      </mc:Fallback>
    </mc:AlternateContent>
    <mc:AlternateContent xmlns:mc="http://schemas.openxmlformats.org/markup-compatibility/2006">
      <mc:Choice Requires="x14">
        <control shapeId="4112" r:id="rId6" name="ComboBox1">
          <controlPr defaultSize="0" autoLine="0" autoPict="0" linkedCell="$F$1" r:id="rId7">
            <anchor>
              <from>
                <xdr:col>1</xdr:col>
                <xdr:colOff>0</xdr:colOff>
                <xdr:row>3</xdr:row>
                <xdr:rowOff>95250</xdr:rowOff>
              </from>
              <to>
                <xdr:col>4</xdr:col>
                <xdr:colOff>1476375</xdr:colOff>
                <xdr:row>4</xdr:row>
                <xdr:rowOff>152400</xdr:rowOff>
              </to>
            </anchor>
          </controlPr>
        </control>
      </mc:Choice>
      <mc:Fallback>
        <control shapeId="4112" r:id="rId6" name="ComboBox1"/>
      </mc:Fallback>
    </mc:AlternateContent>
    <mc:AlternateContent xmlns:mc="http://schemas.openxmlformats.org/markup-compatibility/2006">
      <mc:Choice Requires="x14">
        <control shapeId="4131" r:id="rId8" name="ExpDelBtn">
          <controlPr defaultSize="0" autoFill="0" autoLine="0" autoPict="0" r:id="rId9">
            <anchor>
              <from>
                <xdr:col>4</xdr:col>
                <xdr:colOff>638175</xdr:colOff>
                <xdr:row>5</xdr:row>
                <xdr:rowOff>47625</xdr:rowOff>
              </from>
              <to>
                <xdr:col>4</xdr:col>
                <xdr:colOff>1476375</xdr:colOff>
                <xdr:row>5</xdr:row>
                <xdr:rowOff>295275</xdr:rowOff>
              </to>
            </anchor>
          </controlPr>
        </control>
      </mc:Choice>
      <mc:Fallback>
        <control shapeId="4131" r:id="rId8" name="ExpDelBtn"/>
      </mc:Fallback>
    </mc:AlternateContent>
    <mc:AlternateContent xmlns:mc="http://schemas.openxmlformats.org/markup-compatibility/2006">
      <mc:Choice Requires="x14">
        <control shapeId="4132" r:id="rId10" name="ExpRefBtn">
          <controlPr defaultSize="0" autoFill="0" autoLine="0" autoPict="0" r:id="rId11">
            <anchor>
              <from>
                <xdr:col>0</xdr:col>
                <xdr:colOff>171450</xdr:colOff>
                <xdr:row>5</xdr:row>
                <xdr:rowOff>47625</xdr:rowOff>
              </from>
              <to>
                <xdr:col>2</xdr:col>
                <xdr:colOff>371475</xdr:colOff>
                <xdr:row>5</xdr:row>
                <xdr:rowOff>295275</xdr:rowOff>
              </to>
            </anchor>
          </controlPr>
        </control>
      </mc:Choice>
      <mc:Fallback>
        <control shapeId="4132" r:id="rId10" name="ExpRefBtn"/>
      </mc:Fallback>
    </mc:AlternateContent>
    <mc:AlternateContent xmlns:mc="http://schemas.openxmlformats.org/markup-compatibility/2006">
      <mc:Choice Requires="x14">
        <control shapeId="4146" r:id="rId12" name="CommandButton5">
          <controlPr defaultSize="0" autoFill="0" autoLine="0" autoPict="0" r:id="rId13">
            <anchor>
              <from>
                <xdr:col>2</xdr:col>
                <xdr:colOff>495300</xdr:colOff>
                <xdr:row>5</xdr:row>
                <xdr:rowOff>47625</xdr:rowOff>
              </from>
              <to>
                <xdr:col>3</xdr:col>
                <xdr:colOff>590550</xdr:colOff>
                <xdr:row>5</xdr:row>
                <xdr:rowOff>295275</xdr:rowOff>
              </to>
            </anchor>
          </controlPr>
        </control>
      </mc:Choice>
      <mc:Fallback>
        <control shapeId="4146" r:id="rId12" name="CommandButton5"/>
      </mc:Fallback>
    </mc:AlternateContent>
  </controls>
  <tableParts count="1">
    <tablePart r:id="rId14"/>
  </tableParts>
  <extLst>
    <ext xmlns:x14="http://schemas.microsoft.com/office/spreadsheetml/2009/9/main" uri="{78C0D931-6437-407d-A8EE-F0AAD7539E65}">
      <x14:conditionalFormattings>
        <x14:conditionalFormatting xmlns:xm="http://schemas.microsoft.com/office/excel/2006/main">
          <x14:cfRule type="iconSet" priority="42506" id="{D40969CE-537C-48A6-9EC8-4E1D03DA1624}">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B9:C18</xm:sqref>
        </x14:conditionalFormatting>
        <x14:conditionalFormatting xmlns:xm="http://schemas.microsoft.com/office/excel/2006/main">
          <x14:cfRule type="iconSet" priority="42507" id="{2980F597-6AC6-4929-8553-1374E96614A2}">
            <x14:iconSet iconSet="3Symbols2" showValue="0" custom="1">
              <x14:cfvo type="percent">
                <xm:f>0</xm:f>
              </x14:cfvo>
              <x14:cfvo type="num">
                <xm:f>0</xm:f>
              </x14:cfvo>
              <x14:cfvo type="num">
                <xm:f>1</xm:f>
              </x14:cfvo>
              <x14:cfIcon iconSet="NoIcons" iconId="0"/>
              <x14:cfIcon iconSet="3Symbols2" iconId="0"/>
              <x14:cfIcon iconSet="3Symbols2" iconId="2"/>
            </x14:iconSet>
          </x14:cfRule>
          <xm:sqref>H9:H18</xm:sqref>
        </x14:conditionalFormatting>
      </x14:conditionalFormattings>
    </ext>
    <ext xmlns:x15="http://schemas.microsoft.com/office/spreadsheetml/2010/11/main" uri="{3A4CF648-6AED-40f4-86FF-DC5316D8AED3}">
      <x14:slicerList xmlns:x14="http://schemas.microsoft.com/office/spreadsheetml/2009/9/main">
        <x14:slicer r:id="rId1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1:L52"/>
  <sheetViews>
    <sheetView showGridLines="0" topLeftCell="A2" zoomScaleNormal="100" workbookViewId="0">
      <pane xSplit="1" ySplit="3" topLeftCell="B5" activePane="bottomRight" state="frozen"/>
      <selection activeCell="E21" sqref="E21"/>
      <selection pane="topRight" activeCell="E21" sqref="E21"/>
      <selection pane="bottomLeft" activeCell="E21" sqref="E21"/>
      <selection pane="bottomRight" activeCell="E36" sqref="E36"/>
    </sheetView>
  </sheetViews>
  <sheetFormatPr defaultRowHeight="15"/>
  <cols>
    <col min="1" max="1" width="21.28515625" style="24" customWidth="1"/>
    <col min="2" max="2" width="6.42578125" bestFit="1" customWidth="1"/>
    <col min="3" max="3" width="11.140625" style="15" bestFit="1" customWidth="1"/>
    <col min="4" max="5" width="31.140625" bestFit="1" customWidth="1"/>
    <col min="6" max="6" width="15.140625" bestFit="1" customWidth="1"/>
    <col min="7" max="7" width="7.42578125" bestFit="1" customWidth="1"/>
    <col min="8" max="8" width="9.42578125" bestFit="1" customWidth="1"/>
    <col min="9" max="9" width="14.28515625" bestFit="1" customWidth="1"/>
    <col min="10" max="10" width="13.42578125" bestFit="1" customWidth="1"/>
    <col min="11" max="11" width="16.28515625" bestFit="1" customWidth="1"/>
    <col min="12" max="12" width="15.140625" bestFit="1" customWidth="1"/>
    <col min="13" max="13" width="15.85546875" customWidth="1"/>
    <col min="14" max="14" width="7.42578125" customWidth="1"/>
  </cols>
  <sheetData>
    <row r="1" spans="1:12" ht="74.25" hidden="1" customHeight="1">
      <c r="A1" s="16"/>
      <c r="L1">
        <v>52</v>
      </c>
    </row>
    <row r="2" spans="1:12" s="5" customFormat="1" ht="29.25" customHeight="1" thickBot="1">
      <c r="A2" s="24"/>
      <c r="B2" s="81" t="s">
        <v>71</v>
      </c>
      <c r="C2" s="81"/>
      <c r="D2" s="81"/>
      <c r="E2" s="81"/>
    </row>
    <row r="3" spans="1:12" s="4" customFormat="1" ht="9" customHeight="1" thickTop="1">
      <c r="A3" s="24"/>
      <c r="C3" s="22"/>
    </row>
    <row r="4" spans="1:12" s="13" customFormat="1" ht="15" customHeight="1">
      <c r="A4" s="24"/>
      <c r="B4" s="20" t="s">
        <v>11</v>
      </c>
      <c r="C4" s="19" t="s">
        <v>1</v>
      </c>
      <c r="D4" s="19" t="s">
        <v>0</v>
      </c>
      <c r="E4" s="19" t="s">
        <v>3</v>
      </c>
      <c r="F4" s="19" t="s">
        <v>4</v>
      </c>
      <c r="G4" s="19" t="s">
        <v>18</v>
      </c>
    </row>
    <row r="5" spans="1:12">
      <c r="A5" s="25"/>
      <c r="B5" s="28">
        <f>IF(Shippers[[#This Row],[Active]]=TRUE,1,0)</f>
        <v>1</v>
      </c>
      <c r="C5" s="29" t="b">
        <v>1</v>
      </c>
      <c r="D5" s="27" t="s">
        <v>72</v>
      </c>
      <c r="E5" s="32" t="s">
        <v>73</v>
      </c>
      <c r="F5" s="32"/>
      <c r="G5" s="38">
        <v>1</v>
      </c>
    </row>
    <row r="6" spans="1:12">
      <c r="B6" s="42">
        <f>IF(Shippers[[#This Row],[Active]]=TRUE,1,0)</f>
        <v>1</v>
      </c>
      <c r="C6" s="44" t="b">
        <v>1</v>
      </c>
      <c r="D6" s="42" t="s">
        <v>74</v>
      </c>
      <c r="E6" s="45" t="s">
        <v>74</v>
      </c>
      <c r="F6" s="45"/>
      <c r="G6" s="47">
        <v>2</v>
      </c>
    </row>
    <row r="7" spans="1:12">
      <c r="B7" s="42">
        <f>IF(Shippers[[#This Row],[Active]]=TRUE,1,0)</f>
        <v>1</v>
      </c>
      <c r="C7" s="44" t="b">
        <v>1</v>
      </c>
      <c r="D7" s="42" t="s">
        <v>75</v>
      </c>
      <c r="E7" s="45" t="s">
        <v>75</v>
      </c>
      <c r="F7" s="45"/>
      <c r="G7" s="47">
        <v>3</v>
      </c>
    </row>
    <row r="8" spans="1:12">
      <c r="B8" s="42">
        <f>IF(Shippers[[#This Row],[Active]]=TRUE,1,0)</f>
        <v>1</v>
      </c>
      <c r="C8" s="44" t="b">
        <v>1</v>
      </c>
      <c r="D8" s="42" t="s">
        <v>76</v>
      </c>
      <c r="E8" s="45" t="s">
        <v>76</v>
      </c>
      <c r="F8" s="45"/>
      <c r="G8" s="47">
        <v>4</v>
      </c>
    </row>
    <row r="9" spans="1:12">
      <c r="B9" s="42">
        <f>IF(Shippers[[#This Row],[Active]]=TRUE,1,0)</f>
        <v>1</v>
      </c>
      <c r="C9" s="44" t="b">
        <v>1</v>
      </c>
      <c r="D9" s="42" t="s">
        <v>77</v>
      </c>
      <c r="E9" s="45" t="s">
        <v>77</v>
      </c>
      <c r="F9" s="45"/>
      <c r="G9" s="47">
        <v>5</v>
      </c>
    </row>
    <row r="10" spans="1:12">
      <c r="B10" s="42">
        <f>IF(Shippers[[#This Row],[Active]]=TRUE,1,0)</f>
        <v>1</v>
      </c>
      <c r="C10" s="44" t="b">
        <v>1</v>
      </c>
      <c r="D10" s="42" t="s">
        <v>78</v>
      </c>
      <c r="E10" s="45" t="s">
        <v>78</v>
      </c>
      <c r="F10" s="45"/>
      <c r="G10" s="47">
        <v>6</v>
      </c>
    </row>
    <row r="11" spans="1:12">
      <c r="B11" s="42">
        <f>IF(Shippers[[#This Row],[Active]]=TRUE,1,0)</f>
        <v>1</v>
      </c>
      <c r="C11" s="44" t="b">
        <v>1</v>
      </c>
      <c r="D11" s="42" t="s">
        <v>79</v>
      </c>
      <c r="E11" s="45" t="s">
        <v>79</v>
      </c>
      <c r="F11" s="45"/>
      <c r="G11" s="47">
        <v>7</v>
      </c>
    </row>
    <row r="12" spans="1:12">
      <c r="B12" s="42">
        <f>IF(Shippers[[#This Row],[Active]]=TRUE,1,0)</f>
        <v>1</v>
      </c>
      <c r="C12" s="44" t="b">
        <v>1</v>
      </c>
      <c r="D12" s="42" t="s">
        <v>80</v>
      </c>
      <c r="E12" s="45" t="s">
        <v>80</v>
      </c>
      <c r="F12" s="45"/>
      <c r="G12" s="47">
        <v>8</v>
      </c>
    </row>
    <row r="13" spans="1:12">
      <c r="B13" s="42">
        <f>IF(Shippers[[#This Row],[Active]]=TRUE,1,0)</f>
        <v>1</v>
      </c>
      <c r="C13" s="44" t="b">
        <v>1</v>
      </c>
      <c r="D13" s="42" t="s">
        <v>81</v>
      </c>
      <c r="E13" s="45" t="s">
        <v>81</v>
      </c>
      <c r="F13" s="45"/>
      <c r="G13" s="47">
        <v>9</v>
      </c>
    </row>
    <row r="14" spans="1:12">
      <c r="B14" s="42">
        <f>IF(Shippers[[#This Row],[Active]]=TRUE,1,0)</f>
        <v>1</v>
      </c>
      <c r="C14" s="44" t="b">
        <v>1</v>
      </c>
      <c r="D14" s="42" t="s">
        <v>82</v>
      </c>
      <c r="E14" s="45" t="s">
        <v>82</v>
      </c>
      <c r="F14" s="45"/>
      <c r="G14" s="47">
        <v>10</v>
      </c>
    </row>
    <row r="15" spans="1:12">
      <c r="B15" s="42">
        <f>IF(Shippers[[#This Row],[Active]]=TRUE,1,0)</f>
        <v>1</v>
      </c>
      <c r="C15" s="44" t="b">
        <v>1</v>
      </c>
      <c r="D15" s="42" t="s">
        <v>83</v>
      </c>
      <c r="E15" s="45" t="s">
        <v>83</v>
      </c>
      <c r="F15" s="45"/>
      <c r="G15" s="47">
        <v>11</v>
      </c>
    </row>
    <row r="16" spans="1:12">
      <c r="B16" s="42">
        <f>IF(Shippers[[#This Row],[Active]]=TRUE,1,0)</f>
        <v>1</v>
      </c>
      <c r="C16" s="44" t="b">
        <v>1</v>
      </c>
      <c r="D16" s="42" t="s">
        <v>30</v>
      </c>
      <c r="E16" s="45" t="s">
        <v>30</v>
      </c>
      <c r="F16" s="45"/>
      <c r="G16" s="47">
        <v>12</v>
      </c>
    </row>
    <row r="17" spans="2:7">
      <c r="B17" s="42">
        <f>IF(Shippers[[#This Row],[Active]]=TRUE,1,0)</f>
        <v>1</v>
      </c>
      <c r="C17" s="44" t="b">
        <v>1</v>
      </c>
      <c r="D17" s="42" t="s">
        <v>84</v>
      </c>
      <c r="E17" s="45" t="s">
        <v>84</v>
      </c>
      <c r="F17" s="45"/>
      <c r="G17" s="47">
        <v>13</v>
      </c>
    </row>
    <row r="18" spans="2:7">
      <c r="B18" s="42">
        <f>IF(Shippers[[#This Row],[Active]]=TRUE,1,0)</f>
        <v>1</v>
      </c>
      <c r="C18" s="44" t="b">
        <v>1</v>
      </c>
      <c r="D18" s="42" t="s">
        <v>85</v>
      </c>
      <c r="E18" s="45" t="s">
        <v>85</v>
      </c>
      <c r="F18" s="45"/>
      <c r="G18" s="47">
        <v>14</v>
      </c>
    </row>
    <row r="19" spans="2:7">
      <c r="B19" s="42">
        <f>IF(Shippers[[#This Row],[Active]]=TRUE,1,0)</f>
        <v>0</v>
      </c>
      <c r="C19" s="44" t="b">
        <v>0</v>
      </c>
      <c r="D19" s="42" t="s">
        <v>86</v>
      </c>
      <c r="E19" s="45" t="s">
        <v>86</v>
      </c>
      <c r="F19" s="45"/>
      <c r="G19" s="47">
        <v>15</v>
      </c>
    </row>
    <row r="20" spans="2:7">
      <c r="B20" s="42">
        <f>IF(Shippers[[#This Row],[Active]]=TRUE,1,0)</f>
        <v>1</v>
      </c>
      <c r="C20" s="44" t="b">
        <v>1</v>
      </c>
      <c r="D20" s="42" t="s">
        <v>87</v>
      </c>
      <c r="E20" s="45" t="s">
        <v>87</v>
      </c>
      <c r="F20" s="45"/>
      <c r="G20" s="47">
        <v>16</v>
      </c>
    </row>
    <row r="21" spans="2:7">
      <c r="B21" s="42">
        <f>IF(Shippers[[#This Row],[Active]]=TRUE,1,0)</f>
        <v>1</v>
      </c>
      <c r="C21" s="44" t="b">
        <v>1</v>
      </c>
      <c r="D21" s="42" t="s">
        <v>88</v>
      </c>
      <c r="E21" s="45" t="s">
        <v>88</v>
      </c>
      <c r="F21" s="45"/>
      <c r="G21" s="47">
        <v>17</v>
      </c>
    </row>
    <row r="22" spans="2:7">
      <c r="B22" s="42">
        <f>IF(Shippers[[#This Row],[Active]]=TRUE,1,0)</f>
        <v>1</v>
      </c>
      <c r="C22" s="44" t="b">
        <v>1</v>
      </c>
      <c r="D22" s="42" t="s">
        <v>89</v>
      </c>
      <c r="E22" s="45" t="s">
        <v>89</v>
      </c>
      <c r="F22" s="45"/>
      <c r="G22" s="47">
        <v>18</v>
      </c>
    </row>
    <row r="23" spans="2:7">
      <c r="B23" s="42">
        <f>IF(Shippers[[#This Row],[Active]]=TRUE,1,0)</f>
        <v>1</v>
      </c>
      <c r="C23" s="44" t="b">
        <v>1</v>
      </c>
      <c r="D23" s="42" t="s">
        <v>90</v>
      </c>
      <c r="E23" s="45" t="s">
        <v>90</v>
      </c>
      <c r="F23" s="45"/>
      <c r="G23" s="47">
        <v>19</v>
      </c>
    </row>
    <row r="24" spans="2:7">
      <c r="B24" s="42">
        <f>IF(Shippers[[#This Row],[Active]]=TRUE,1,0)</f>
        <v>1</v>
      </c>
      <c r="C24" s="44" t="b">
        <v>1</v>
      </c>
      <c r="D24" s="42" t="s">
        <v>91</v>
      </c>
      <c r="E24" s="45" t="s">
        <v>91</v>
      </c>
      <c r="F24" s="45"/>
      <c r="G24" s="47">
        <v>20</v>
      </c>
    </row>
    <row r="25" spans="2:7">
      <c r="B25" s="42">
        <f>IF(Shippers[[#This Row],[Active]]=TRUE,1,0)</f>
        <v>1</v>
      </c>
      <c r="C25" s="44" t="b">
        <v>1</v>
      </c>
      <c r="D25" s="42" t="s">
        <v>92</v>
      </c>
      <c r="E25" s="45" t="s">
        <v>92</v>
      </c>
      <c r="F25" s="45"/>
      <c r="G25" s="47">
        <v>21</v>
      </c>
    </row>
    <row r="26" spans="2:7">
      <c r="B26" s="42">
        <f>IF(Shippers[[#This Row],[Active]]=TRUE,1,0)</f>
        <v>1</v>
      </c>
      <c r="C26" s="44" t="b">
        <v>1</v>
      </c>
      <c r="D26" s="42" t="s">
        <v>93</v>
      </c>
      <c r="E26" s="45" t="s">
        <v>93</v>
      </c>
      <c r="F26" s="45"/>
      <c r="G26" s="47">
        <v>22</v>
      </c>
    </row>
    <row r="27" spans="2:7">
      <c r="B27" s="42">
        <f>IF(Shippers[[#This Row],[Active]]=TRUE,1,0)</f>
        <v>1</v>
      </c>
      <c r="C27" s="44" t="b">
        <v>1</v>
      </c>
      <c r="D27" s="42" t="s">
        <v>94</v>
      </c>
      <c r="E27" s="45" t="s">
        <v>94</v>
      </c>
      <c r="F27" s="45"/>
      <c r="G27" s="47">
        <v>23</v>
      </c>
    </row>
    <row r="28" spans="2:7">
      <c r="B28" s="42">
        <f>IF(Shippers[[#This Row],[Active]]=TRUE,1,0)</f>
        <v>1</v>
      </c>
      <c r="C28" s="44" t="b">
        <v>1</v>
      </c>
      <c r="D28" s="42" t="s">
        <v>95</v>
      </c>
      <c r="E28" s="45" t="s">
        <v>95</v>
      </c>
      <c r="F28" s="45"/>
      <c r="G28" s="47">
        <v>24</v>
      </c>
    </row>
    <row r="29" spans="2:7">
      <c r="B29" s="42">
        <f>IF(Shippers[[#This Row],[Active]]=TRUE,1,0)</f>
        <v>1</v>
      </c>
      <c r="C29" s="44" t="b">
        <v>1</v>
      </c>
      <c r="D29" s="42" t="s">
        <v>96</v>
      </c>
      <c r="E29" s="45" t="s">
        <v>96</v>
      </c>
      <c r="F29" s="45"/>
      <c r="G29" s="47">
        <v>25</v>
      </c>
    </row>
    <row r="30" spans="2:7">
      <c r="B30" s="42">
        <f>IF(Shippers[[#This Row],[Active]]=TRUE,1,0)</f>
        <v>1</v>
      </c>
      <c r="C30" s="44" t="b">
        <v>1</v>
      </c>
      <c r="D30" s="42" t="s">
        <v>97</v>
      </c>
      <c r="E30" s="45" t="s">
        <v>97</v>
      </c>
      <c r="F30" s="45"/>
      <c r="G30" s="47">
        <v>26</v>
      </c>
    </row>
    <row r="31" spans="2:7">
      <c r="B31" s="42">
        <f>IF(Shippers[[#This Row],[Active]]=TRUE,1,0)</f>
        <v>1</v>
      </c>
      <c r="C31" s="44" t="b">
        <v>1</v>
      </c>
      <c r="D31" s="42" t="s">
        <v>98</v>
      </c>
      <c r="E31" s="45" t="s">
        <v>98</v>
      </c>
      <c r="F31" s="45"/>
      <c r="G31" s="47">
        <v>27</v>
      </c>
    </row>
    <row r="32" spans="2:7">
      <c r="B32" s="42">
        <f>IF(Shippers[[#This Row],[Active]]=TRUE,1,0)</f>
        <v>1</v>
      </c>
      <c r="C32" s="44" t="b">
        <v>1</v>
      </c>
      <c r="D32" s="42" t="s">
        <v>99</v>
      </c>
      <c r="E32" s="45" t="s">
        <v>99</v>
      </c>
      <c r="F32" s="45"/>
      <c r="G32" s="47">
        <v>28</v>
      </c>
    </row>
    <row r="33" spans="2:7">
      <c r="B33" s="42">
        <f>IF(Shippers[[#This Row],[Active]]=TRUE,1,0)</f>
        <v>1</v>
      </c>
      <c r="C33" s="44" t="b">
        <v>1</v>
      </c>
      <c r="D33" s="42" t="s">
        <v>100</v>
      </c>
      <c r="E33" s="45" t="s">
        <v>100</v>
      </c>
      <c r="F33" s="45"/>
      <c r="G33" s="47">
        <v>29</v>
      </c>
    </row>
    <row r="34" spans="2:7">
      <c r="B34" s="42">
        <f>IF(Shippers[[#This Row],[Active]]=TRUE,1,0)</f>
        <v>1</v>
      </c>
      <c r="C34" s="44" t="b">
        <v>1</v>
      </c>
      <c r="D34" s="42" t="s">
        <v>101</v>
      </c>
      <c r="E34" s="45" t="s">
        <v>101</v>
      </c>
      <c r="F34" s="45"/>
      <c r="G34" s="47">
        <v>30</v>
      </c>
    </row>
    <row r="35" spans="2:7">
      <c r="B35" s="42">
        <f>IF(Shippers[[#This Row],[Active]]=TRUE,1,0)</f>
        <v>1</v>
      </c>
      <c r="C35" s="44" t="b">
        <v>1</v>
      </c>
      <c r="D35" s="42" t="s">
        <v>102</v>
      </c>
      <c r="E35" s="45" t="s">
        <v>102</v>
      </c>
      <c r="F35" s="45"/>
      <c r="G35" s="47">
        <v>31</v>
      </c>
    </row>
    <row r="36" spans="2:7">
      <c r="B36" s="42">
        <f>IF(Shippers[[#This Row],[Active]]=TRUE,1,0)</f>
        <v>1</v>
      </c>
      <c r="C36" s="44" t="b">
        <v>1</v>
      </c>
      <c r="D36" s="42" t="s">
        <v>103</v>
      </c>
      <c r="E36" s="45" t="s">
        <v>103</v>
      </c>
      <c r="F36" s="45"/>
      <c r="G36" s="47">
        <v>32</v>
      </c>
    </row>
    <row r="37" spans="2:7">
      <c r="B37" s="42">
        <f>IF(Shippers[[#This Row],[Active]]=TRUE,1,0)</f>
        <v>1</v>
      </c>
      <c r="C37" s="44" t="b">
        <v>1</v>
      </c>
      <c r="D37" s="42" t="s">
        <v>104</v>
      </c>
      <c r="E37" s="45" t="s">
        <v>104</v>
      </c>
      <c r="F37" s="45"/>
      <c r="G37" s="47">
        <v>33</v>
      </c>
    </row>
    <row r="38" spans="2:7">
      <c r="B38" s="42">
        <f>IF(Shippers[[#This Row],[Active]]=TRUE,1,0)</f>
        <v>1</v>
      </c>
      <c r="C38" s="44" t="b">
        <v>1</v>
      </c>
      <c r="D38" s="42" t="s">
        <v>105</v>
      </c>
      <c r="E38" s="45" t="s">
        <v>105</v>
      </c>
      <c r="F38" s="45"/>
      <c r="G38" s="47">
        <v>34</v>
      </c>
    </row>
    <row r="39" spans="2:7">
      <c r="B39" s="42">
        <f>IF(Shippers[[#This Row],[Active]]=TRUE,1,0)</f>
        <v>1</v>
      </c>
      <c r="C39" s="44" t="b">
        <v>1</v>
      </c>
      <c r="D39" s="42" t="s">
        <v>106</v>
      </c>
      <c r="E39" s="45" t="s">
        <v>106</v>
      </c>
      <c r="F39" s="45"/>
      <c r="G39" s="47">
        <v>35</v>
      </c>
    </row>
    <row r="40" spans="2:7">
      <c r="B40" s="42">
        <f>IF(Shippers[[#This Row],[Active]]=TRUE,1,0)</f>
        <v>1</v>
      </c>
      <c r="C40" s="44" t="b">
        <v>1</v>
      </c>
      <c r="D40" s="42" t="s">
        <v>107</v>
      </c>
      <c r="E40" s="45" t="s">
        <v>107</v>
      </c>
      <c r="F40" s="45"/>
      <c r="G40" s="47">
        <v>36</v>
      </c>
    </row>
    <row r="41" spans="2:7">
      <c r="B41" s="42">
        <f>IF(Shippers[[#This Row],[Active]]=TRUE,1,0)</f>
        <v>1</v>
      </c>
      <c r="C41" s="44" t="b">
        <v>1</v>
      </c>
      <c r="D41" s="42" t="s">
        <v>108</v>
      </c>
      <c r="E41" s="45" t="s">
        <v>108</v>
      </c>
      <c r="F41" s="45"/>
      <c r="G41" s="47">
        <v>37</v>
      </c>
    </row>
    <row r="42" spans="2:7">
      <c r="B42" s="42">
        <f>IF(Shippers[[#This Row],[Active]]=TRUE,1,0)</f>
        <v>1</v>
      </c>
      <c r="C42" s="44" t="b">
        <v>1</v>
      </c>
      <c r="D42" s="42" t="s">
        <v>109</v>
      </c>
      <c r="E42" s="45" t="s">
        <v>109</v>
      </c>
      <c r="F42" s="45"/>
      <c r="G42" s="47">
        <v>38</v>
      </c>
    </row>
    <row r="43" spans="2:7">
      <c r="B43" s="42">
        <f>IF(Shippers[[#This Row],[Active]]=TRUE,1,0)</f>
        <v>1</v>
      </c>
      <c r="C43" s="44" t="b">
        <v>1</v>
      </c>
      <c r="D43" s="42" t="s">
        <v>110</v>
      </c>
      <c r="E43" s="45" t="s">
        <v>110</v>
      </c>
      <c r="F43" s="45"/>
      <c r="G43" s="47">
        <v>39</v>
      </c>
    </row>
    <row r="44" spans="2:7">
      <c r="B44" s="42">
        <f>IF(Shippers[[#This Row],[Active]]=TRUE,1,0)</f>
        <v>1</v>
      </c>
      <c r="C44" s="44" t="b">
        <v>1</v>
      </c>
      <c r="D44" s="42" t="s">
        <v>111</v>
      </c>
      <c r="E44" s="45" t="s">
        <v>111</v>
      </c>
      <c r="F44" s="45"/>
      <c r="G44" s="47">
        <v>40</v>
      </c>
    </row>
    <row r="45" spans="2:7">
      <c r="B45" s="42">
        <f>IF(Shippers[[#This Row],[Active]]=TRUE,1,0)</f>
        <v>1</v>
      </c>
      <c r="C45" s="44" t="b">
        <v>1</v>
      </c>
      <c r="D45" s="42" t="s">
        <v>112</v>
      </c>
      <c r="E45" s="45" t="s">
        <v>112</v>
      </c>
      <c r="F45" s="45"/>
      <c r="G45" s="47">
        <v>41</v>
      </c>
    </row>
    <row r="46" spans="2:7">
      <c r="B46" s="42">
        <f>IF(Shippers[[#This Row],[Active]]=TRUE,1,0)</f>
        <v>1</v>
      </c>
      <c r="C46" s="44" t="b">
        <v>1</v>
      </c>
      <c r="D46" s="42" t="s">
        <v>113</v>
      </c>
      <c r="E46" s="45" t="s">
        <v>113</v>
      </c>
      <c r="F46" s="45"/>
      <c r="G46" s="47">
        <v>42</v>
      </c>
    </row>
    <row r="47" spans="2:7">
      <c r="B47" s="42">
        <f>IF(Shippers[[#This Row],[Active]]=TRUE,1,0)</f>
        <v>1</v>
      </c>
      <c r="C47" s="44" t="b">
        <v>1</v>
      </c>
      <c r="D47" s="42" t="s">
        <v>114</v>
      </c>
      <c r="E47" s="45" t="s">
        <v>114</v>
      </c>
      <c r="F47" s="45"/>
      <c r="G47" s="47">
        <v>43</v>
      </c>
    </row>
    <row r="48" spans="2:7">
      <c r="B48" s="42">
        <f>IF(Shippers[[#This Row],[Active]]=TRUE,1,0)</f>
        <v>1</v>
      </c>
      <c r="C48" s="44" t="b">
        <v>1</v>
      </c>
      <c r="D48" s="42" t="s">
        <v>115</v>
      </c>
      <c r="E48" s="45" t="s">
        <v>115</v>
      </c>
      <c r="F48" s="45"/>
      <c r="G48" s="47">
        <v>44</v>
      </c>
    </row>
    <row r="49" spans="2:7">
      <c r="B49" s="42">
        <f>IF(Shippers[[#This Row],[Active]]=TRUE,1,0)</f>
        <v>1</v>
      </c>
      <c r="C49" s="44" t="b">
        <v>1</v>
      </c>
      <c r="D49" s="42" t="s">
        <v>116</v>
      </c>
      <c r="E49" s="45" t="s">
        <v>116</v>
      </c>
      <c r="F49" s="45"/>
      <c r="G49" s="47">
        <v>45</v>
      </c>
    </row>
    <row r="50" spans="2:7">
      <c r="B50" s="42">
        <f>IF(Shippers[[#This Row],[Active]]=TRUE,1,0)</f>
        <v>1</v>
      </c>
      <c r="C50" s="44" t="b">
        <v>1</v>
      </c>
      <c r="D50" s="42" t="s">
        <v>117</v>
      </c>
      <c r="E50" s="45" t="s">
        <v>117</v>
      </c>
      <c r="F50" s="45"/>
      <c r="G50" s="47">
        <v>46</v>
      </c>
    </row>
    <row r="51" spans="2:7">
      <c r="B51" s="42">
        <f>IF(Shippers[[#This Row],[Active]]=TRUE,1,0)</f>
        <v>1</v>
      </c>
      <c r="C51" s="44" t="b">
        <v>1</v>
      </c>
      <c r="D51" s="42" t="s">
        <v>118</v>
      </c>
      <c r="E51" s="45" t="s">
        <v>118</v>
      </c>
      <c r="F51" s="45"/>
      <c r="G51" s="47">
        <v>47</v>
      </c>
    </row>
    <row r="52" spans="2:7">
      <c r="B52" s="42">
        <f>IF(Shippers[[#This Row],[Active]]=TRUE,1,0)</f>
        <v>1</v>
      </c>
      <c r="C52" s="44" t="b">
        <v>1</v>
      </c>
      <c r="D52" s="42" t="s">
        <v>119</v>
      </c>
      <c r="E52" s="45" t="s">
        <v>119</v>
      </c>
      <c r="F52" s="45"/>
      <c r="G52" s="47">
        <v>48</v>
      </c>
    </row>
  </sheetData>
  <dataConsolidate/>
  <mergeCells count="1">
    <mergeCell ref="B2:E2"/>
  </mergeCells>
  <conditionalFormatting sqref="B5:G52">
    <cfRule type="expression" dxfId="222" priority="1">
      <formula>$C5 = FALSE</formula>
    </cfRule>
  </conditionalFormatting>
  <conditionalFormatting sqref="C5:C52">
    <cfRule type="containsText" dxfId="221" priority="2" operator="containsText" text="TRUE">
      <formula>NOT(ISERROR(SEARCH("TRUE",C5)))</formula>
    </cfRule>
    <cfRule type="containsText" dxfId="220" priority="3" operator="containsText" text="FALSE">
      <formula>NOT(ISERROR(SEARCH("FALSE",C5)))</formula>
    </cfRule>
  </conditionalFormatting>
  <dataValidations count="1">
    <dataValidation type="list" allowBlank="1" showInputMessage="1" showErrorMessage="1" sqref="C5:C52">
      <formula1>"TRUE, FALSE"</formula1>
    </dataValidation>
  </dataValidations>
  <pageMargins left="0.7" right="0.7" top="0.75" bottom="0.75" header="0.3" footer="0.3"/>
  <pageSetup scale="88"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2509" id="{2169D7B2-0DDF-407E-9339-90DB3DC124D8}">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B5:B52</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P122"/>
  <sheetViews>
    <sheetView showGridLines="0" topLeftCell="A2" zoomScaleNormal="100" workbookViewId="0">
      <pane xSplit="1" ySplit="3" topLeftCell="B5" activePane="bottomRight" state="frozen"/>
      <selection activeCell="J37" sqref="J37"/>
      <selection pane="topRight" activeCell="J37" sqref="J37"/>
      <selection pane="bottomLeft" activeCell="J37" sqref="J37"/>
      <selection pane="bottomRight" activeCell="L2" sqref="L1:M1048576"/>
    </sheetView>
  </sheetViews>
  <sheetFormatPr defaultRowHeight="15"/>
  <cols>
    <col min="1" max="1" width="21.28515625" style="24" customWidth="1"/>
    <col min="2" max="2" width="6.42578125" bestFit="1" customWidth="1"/>
    <col min="3" max="3" width="11.140625" style="15" bestFit="1" customWidth="1"/>
    <col min="4" max="6" width="31.140625" bestFit="1" customWidth="1"/>
    <col min="7" max="8" width="6.7109375" bestFit="1" customWidth="1"/>
    <col min="9" max="9" width="6.5703125" bestFit="1" customWidth="1"/>
    <col min="10" max="10" width="12.7109375" bestFit="1" customWidth="1"/>
    <col min="11" max="11" width="15.140625" bestFit="1" customWidth="1"/>
    <col min="12" max="12" width="14.140625" bestFit="1" customWidth="1"/>
    <col min="13" max="13" width="14.28515625" bestFit="1" customWidth="1"/>
    <col min="14" max="14" width="13.42578125" bestFit="1" customWidth="1"/>
    <col min="15" max="15" width="16.28515625" bestFit="1" customWidth="1"/>
    <col min="16" max="16" width="15.140625" bestFit="1" customWidth="1"/>
    <col min="17" max="17" width="15.85546875" customWidth="1"/>
    <col min="18" max="18" width="7.42578125" customWidth="1"/>
  </cols>
  <sheetData>
    <row r="1" spans="1:16" ht="74.25" hidden="1" customHeight="1">
      <c r="A1" s="16"/>
      <c r="P1">
        <v>52</v>
      </c>
    </row>
    <row r="2" spans="1:16" s="5" customFormat="1" ht="29.25" customHeight="1" thickBot="1">
      <c r="A2" s="24"/>
      <c r="B2" s="81" t="s">
        <v>120</v>
      </c>
      <c r="C2" s="81"/>
      <c r="D2" s="81"/>
      <c r="E2" s="81"/>
      <c r="F2" s="81"/>
      <c r="G2" s="81"/>
    </row>
    <row r="3" spans="1:16" s="4" customFormat="1" ht="9" customHeight="1" thickTop="1">
      <c r="A3" s="24"/>
      <c r="C3" s="22"/>
    </row>
    <row r="4" spans="1:16" s="13" customFormat="1" ht="15" customHeight="1">
      <c r="A4" s="24"/>
      <c r="B4" s="20" t="s">
        <v>11</v>
      </c>
      <c r="C4" s="19" t="s">
        <v>1</v>
      </c>
      <c r="D4" s="19" t="s">
        <v>0</v>
      </c>
      <c r="E4" s="19" t="s">
        <v>3</v>
      </c>
      <c r="F4" s="19" t="s">
        <v>121</v>
      </c>
      <c r="G4" s="19" t="s">
        <v>122</v>
      </c>
      <c r="H4" s="19" t="s">
        <v>123</v>
      </c>
      <c r="I4" s="19" t="s">
        <v>124</v>
      </c>
      <c r="J4" s="19" t="s">
        <v>125</v>
      </c>
      <c r="K4" s="19" t="s">
        <v>4</v>
      </c>
      <c r="L4" s="19" t="s">
        <v>214</v>
      </c>
      <c r="M4" s="19" t="s">
        <v>18</v>
      </c>
    </row>
    <row r="5" spans="1:16">
      <c r="A5" s="25"/>
      <c r="B5" s="28">
        <f>IF(Sites[[#This Row],[Active]]=TRUE,1,0)</f>
        <v>1</v>
      </c>
      <c r="C5" s="29" t="b">
        <v>1</v>
      </c>
      <c r="D5" s="27" t="s">
        <v>72</v>
      </c>
      <c r="E5" s="32" t="s">
        <v>72</v>
      </c>
      <c r="F5" s="33" t="s">
        <v>80</v>
      </c>
      <c r="G5" s="15">
        <v>0</v>
      </c>
      <c r="H5" s="15">
        <v>0</v>
      </c>
      <c r="I5" s="15">
        <v>0</v>
      </c>
      <c r="J5" s="37"/>
      <c r="K5" s="37"/>
      <c r="L5" s="37">
        <f>IF(Sites[[#This Row],[Shipper]]="","",INDEX(Shippers[ID],MATCH(Sites[[#This Row],[Shipper]],Shippers[Code],0)))</f>
        <v>8</v>
      </c>
      <c r="M5" s="38">
        <v>924</v>
      </c>
    </row>
    <row r="6" spans="1:16">
      <c r="B6" s="42">
        <f>IF(Sites[[#This Row],[Active]]=TRUE,1,0)</f>
        <v>1</v>
      </c>
      <c r="C6" s="44" t="b">
        <v>1</v>
      </c>
      <c r="D6" s="42" t="s">
        <v>126</v>
      </c>
      <c r="E6" s="45" t="s">
        <v>126</v>
      </c>
      <c r="F6" s="45" t="s">
        <v>74</v>
      </c>
      <c r="G6" s="15">
        <v>0</v>
      </c>
      <c r="H6" s="15">
        <v>0</v>
      </c>
      <c r="I6" s="15">
        <v>0</v>
      </c>
      <c r="J6" s="52"/>
      <c r="K6" s="52"/>
      <c r="L6" s="52">
        <f>IF(Sites[[#This Row],[Shipper]]="","",INDEX(Shippers[ID],MATCH(Sites[[#This Row],[Shipper]],Shippers[Code],0)))</f>
        <v>2</v>
      </c>
      <c r="M6" s="47">
        <v>925</v>
      </c>
    </row>
    <row r="7" spans="1:16">
      <c r="B7" s="42">
        <f>IF(Sites[[#This Row],[Active]]=TRUE,1,0)</f>
        <v>1</v>
      </c>
      <c r="C7" s="44" t="b">
        <v>1</v>
      </c>
      <c r="D7" s="42" t="s">
        <v>127</v>
      </c>
      <c r="E7" s="45" t="s">
        <v>127</v>
      </c>
      <c r="F7" s="45" t="s">
        <v>74</v>
      </c>
      <c r="G7" s="15">
        <v>0</v>
      </c>
      <c r="H7" s="15">
        <v>0</v>
      </c>
      <c r="I7" s="15">
        <v>0</v>
      </c>
      <c r="J7" s="52"/>
      <c r="K7" s="52"/>
      <c r="L7" s="52">
        <f>IF(Sites[[#This Row],[Shipper]]="","",INDEX(Shippers[ID],MATCH(Sites[[#This Row],[Shipper]],Shippers[Code],0)))</f>
        <v>2</v>
      </c>
      <c r="M7" s="47">
        <v>926</v>
      </c>
    </row>
    <row r="8" spans="1:16">
      <c r="B8" s="42">
        <f>IF(Sites[[#This Row],[Active]]=TRUE,1,0)</f>
        <v>1</v>
      </c>
      <c r="C8" s="44" t="b">
        <v>1</v>
      </c>
      <c r="D8" s="42" t="s">
        <v>128</v>
      </c>
      <c r="E8" s="45" t="s">
        <v>128</v>
      </c>
      <c r="F8" s="45" t="s">
        <v>74</v>
      </c>
      <c r="G8" s="15">
        <v>0</v>
      </c>
      <c r="H8" s="15">
        <v>0</v>
      </c>
      <c r="I8" s="15">
        <v>0</v>
      </c>
      <c r="J8" s="52"/>
      <c r="K8" s="52"/>
      <c r="L8" s="52">
        <f>IF(Sites[[#This Row],[Shipper]]="","",INDEX(Shippers[ID],MATCH(Sites[[#This Row],[Shipper]],Shippers[Code],0)))</f>
        <v>2</v>
      </c>
      <c r="M8" s="47">
        <v>927</v>
      </c>
    </row>
    <row r="9" spans="1:16">
      <c r="B9" s="42">
        <f>IF(Sites[[#This Row],[Active]]=TRUE,1,0)</f>
        <v>1</v>
      </c>
      <c r="C9" s="44" t="b">
        <v>1</v>
      </c>
      <c r="D9" s="42" t="s">
        <v>129</v>
      </c>
      <c r="E9" s="45" t="s">
        <v>129</v>
      </c>
      <c r="F9" s="45" t="s">
        <v>75</v>
      </c>
      <c r="G9" s="15">
        <v>0</v>
      </c>
      <c r="H9" s="15">
        <v>0</v>
      </c>
      <c r="I9" s="15">
        <v>0</v>
      </c>
      <c r="J9" s="52"/>
      <c r="K9" s="52"/>
      <c r="L9" s="52">
        <f>IF(Sites[[#This Row],[Shipper]]="","",INDEX(Shippers[ID],MATCH(Sites[[#This Row],[Shipper]],Shippers[Code],0)))</f>
        <v>3</v>
      </c>
      <c r="M9" s="47">
        <v>928</v>
      </c>
    </row>
    <row r="10" spans="1:16">
      <c r="B10" s="42">
        <f>IF(Sites[[#This Row],[Active]]=TRUE,1,0)</f>
        <v>1</v>
      </c>
      <c r="C10" s="44" t="b">
        <v>1</v>
      </c>
      <c r="D10" s="42" t="s">
        <v>130</v>
      </c>
      <c r="E10" s="45" t="s">
        <v>130</v>
      </c>
      <c r="F10" s="45" t="s">
        <v>75</v>
      </c>
      <c r="G10" s="15">
        <v>0</v>
      </c>
      <c r="H10" s="15">
        <v>0</v>
      </c>
      <c r="I10" s="15">
        <v>0</v>
      </c>
      <c r="J10" s="52"/>
      <c r="K10" s="52"/>
      <c r="L10" s="52">
        <f>IF(Sites[[#This Row],[Shipper]]="","",INDEX(Shippers[ID],MATCH(Sites[[#This Row],[Shipper]],Shippers[Code],0)))</f>
        <v>3</v>
      </c>
      <c r="M10" s="47">
        <v>929</v>
      </c>
    </row>
    <row r="11" spans="1:16">
      <c r="B11" s="42">
        <f>IF(Sites[[#This Row],[Active]]=TRUE,1,0)</f>
        <v>1</v>
      </c>
      <c r="C11" s="44" t="b">
        <v>1</v>
      </c>
      <c r="D11" s="42" t="s">
        <v>131</v>
      </c>
      <c r="E11" s="45" t="s">
        <v>131</v>
      </c>
      <c r="F11" s="45" t="s">
        <v>75</v>
      </c>
      <c r="G11" s="15">
        <v>0</v>
      </c>
      <c r="H11" s="15">
        <v>0</v>
      </c>
      <c r="I11" s="15">
        <v>0</v>
      </c>
      <c r="J11" s="52"/>
      <c r="K11" s="52"/>
      <c r="L11" s="52">
        <f>IF(Sites[[#This Row],[Shipper]]="","",INDEX(Shippers[ID],MATCH(Sites[[#This Row],[Shipper]],Shippers[Code],0)))</f>
        <v>3</v>
      </c>
      <c r="M11" s="47">
        <v>930</v>
      </c>
    </row>
    <row r="12" spans="1:16">
      <c r="B12" s="42">
        <f>IF(Sites[[#This Row],[Active]]=TRUE,1,0)</f>
        <v>1</v>
      </c>
      <c r="C12" s="44" t="b">
        <v>1</v>
      </c>
      <c r="D12" s="42" t="s">
        <v>76</v>
      </c>
      <c r="E12" s="45" t="s">
        <v>76</v>
      </c>
      <c r="F12" s="45" t="s">
        <v>76</v>
      </c>
      <c r="G12" s="15">
        <v>0</v>
      </c>
      <c r="H12" s="15">
        <v>0</v>
      </c>
      <c r="I12" s="15">
        <v>0</v>
      </c>
      <c r="J12" s="52"/>
      <c r="K12" s="52"/>
      <c r="L12" s="52">
        <f>IF(Sites[[#This Row],[Shipper]]="","",INDEX(Shippers[ID],MATCH(Sites[[#This Row],[Shipper]],Shippers[Code],0)))</f>
        <v>4</v>
      </c>
      <c r="M12" s="47">
        <v>931</v>
      </c>
    </row>
    <row r="13" spans="1:16">
      <c r="B13" s="42">
        <f>IF(Sites[[#This Row],[Active]]=TRUE,1,0)</f>
        <v>1</v>
      </c>
      <c r="C13" s="44" t="b">
        <v>1</v>
      </c>
      <c r="D13" s="42" t="s">
        <v>132</v>
      </c>
      <c r="E13" s="45" t="s">
        <v>132</v>
      </c>
      <c r="F13" s="45" t="s">
        <v>77</v>
      </c>
      <c r="G13" s="15">
        <v>0</v>
      </c>
      <c r="H13" s="15">
        <v>0</v>
      </c>
      <c r="I13" s="15">
        <v>0</v>
      </c>
      <c r="J13" s="52"/>
      <c r="K13" s="52"/>
      <c r="L13" s="52">
        <f>IF(Sites[[#This Row],[Shipper]]="","",INDEX(Shippers[ID],MATCH(Sites[[#This Row],[Shipper]],Shippers[Code],0)))</f>
        <v>5</v>
      </c>
      <c r="M13" s="47">
        <v>932</v>
      </c>
    </row>
    <row r="14" spans="1:16">
      <c r="B14" s="42">
        <f>IF(Sites[[#This Row],[Active]]=TRUE,1,0)</f>
        <v>1</v>
      </c>
      <c r="C14" s="44" t="b">
        <v>1</v>
      </c>
      <c r="D14" s="42" t="s">
        <v>133</v>
      </c>
      <c r="E14" s="45" t="s">
        <v>133</v>
      </c>
      <c r="F14" s="45" t="s">
        <v>77</v>
      </c>
      <c r="G14" s="15">
        <v>0</v>
      </c>
      <c r="H14" s="15">
        <v>0</v>
      </c>
      <c r="I14" s="15">
        <v>0</v>
      </c>
      <c r="J14" s="52"/>
      <c r="K14" s="52"/>
      <c r="L14" s="52">
        <f>IF(Sites[[#This Row],[Shipper]]="","",INDEX(Shippers[ID],MATCH(Sites[[#This Row],[Shipper]],Shippers[Code],0)))</f>
        <v>5</v>
      </c>
      <c r="M14" s="47">
        <v>933</v>
      </c>
    </row>
    <row r="15" spans="1:16">
      <c r="B15" s="42">
        <f>IF(Sites[[#This Row],[Active]]=TRUE,1,0)</f>
        <v>1</v>
      </c>
      <c r="C15" s="44" t="b">
        <v>1</v>
      </c>
      <c r="D15" s="42" t="s">
        <v>134</v>
      </c>
      <c r="E15" s="45" t="s">
        <v>134</v>
      </c>
      <c r="F15" s="45" t="s">
        <v>78</v>
      </c>
      <c r="G15" s="15">
        <v>0</v>
      </c>
      <c r="H15" s="15">
        <v>0</v>
      </c>
      <c r="I15" s="15">
        <v>0</v>
      </c>
      <c r="J15" s="52"/>
      <c r="K15" s="52"/>
      <c r="L15" s="52">
        <f>IF(Sites[[#This Row],[Shipper]]="","",INDEX(Shippers[ID],MATCH(Sites[[#This Row],[Shipper]],Shippers[Code],0)))</f>
        <v>6</v>
      </c>
      <c r="M15" s="47">
        <v>934</v>
      </c>
    </row>
    <row r="16" spans="1:16">
      <c r="B16" s="42">
        <f>IF(Sites[[#This Row],[Active]]=TRUE,1,0)</f>
        <v>1</v>
      </c>
      <c r="C16" s="44" t="b">
        <v>1</v>
      </c>
      <c r="D16" s="42" t="s">
        <v>135</v>
      </c>
      <c r="E16" s="45" t="s">
        <v>135</v>
      </c>
      <c r="F16" s="45" t="s">
        <v>78</v>
      </c>
      <c r="G16" s="15">
        <v>0</v>
      </c>
      <c r="H16" s="15">
        <v>0</v>
      </c>
      <c r="I16" s="15">
        <v>0</v>
      </c>
      <c r="J16" s="52"/>
      <c r="K16" s="52"/>
      <c r="L16" s="52">
        <f>IF(Sites[[#This Row],[Shipper]]="","",INDEX(Shippers[ID],MATCH(Sites[[#This Row],[Shipper]],Shippers[Code],0)))</f>
        <v>6</v>
      </c>
      <c r="M16" s="47">
        <v>935</v>
      </c>
    </row>
    <row r="17" spans="2:13">
      <c r="B17" s="42">
        <f>IF(Sites[[#This Row],[Active]]=TRUE,1,0)</f>
        <v>1</v>
      </c>
      <c r="C17" s="44" t="b">
        <v>1</v>
      </c>
      <c r="D17" s="42" t="s">
        <v>136</v>
      </c>
      <c r="E17" s="45" t="s">
        <v>136</v>
      </c>
      <c r="F17" s="45" t="s">
        <v>78</v>
      </c>
      <c r="G17" s="15">
        <v>0</v>
      </c>
      <c r="H17" s="15">
        <v>0</v>
      </c>
      <c r="I17" s="15">
        <v>0</v>
      </c>
      <c r="J17" s="52"/>
      <c r="K17" s="52"/>
      <c r="L17" s="52">
        <f>IF(Sites[[#This Row],[Shipper]]="","",INDEX(Shippers[ID],MATCH(Sites[[#This Row],[Shipper]],Shippers[Code],0)))</f>
        <v>6</v>
      </c>
      <c r="M17" s="47">
        <v>936</v>
      </c>
    </row>
    <row r="18" spans="2:13">
      <c r="B18" s="42">
        <f>IF(Sites[[#This Row],[Active]]=TRUE,1,0)</f>
        <v>1</v>
      </c>
      <c r="C18" s="44" t="b">
        <v>1</v>
      </c>
      <c r="D18" s="42" t="s">
        <v>137</v>
      </c>
      <c r="E18" s="45" t="s">
        <v>137</v>
      </c>
      <c r="F18" s="45" t="s">
        <v>79</v>
      </c>
      <c r="G18" s="15">
        <v>0</v>
      </c>
      <c r="H18" s="15">
        <v>0</v>
      </c>
      <c r="I18" s="15">
        <v>0</v>
      </c>
      <c r="J18" s="52"/>
      <c r="K18" s="52"/>
      <c r="L18" s="52">
        <f>IF(Sites[[#This Row],[Shipper]]="","",INDEX(Shippers[ID],MATCH(Sites[[#This Row],[Shipper]],Shippers[Code],0)))</f>
        <v>7</v>
      </c>
      <c r="M18" s="47">
        <v>937</v>
      </c>
    </row>
    <row r="19" spans="2:13">
      <c r="B19" s="42">
        <f>IF(Sites[[#This Row],[Active]]=TRUE,1,0)</f>
        <v>1</v>
      </c>
      <c r="C19" s="44" t="b">
        <v>1</v>
      </c>
      <c r="D19" s="42" t="s">
        <v>138</v>
      </c>
      <c r="E19" s="45" t="s">
        <v>138</v>
      </c>
      <c r="F19" s="45" t="s">
        <v>79</v>
      </c>
      <c r="G19" s="15">
        <v>0</v>
      </c>
      <c r="H19" s="15">
        <v>0</v>
      </c>
      <c r="I19" s="15">
        <v>0</v>
      </c>
      <c r="J19" s="52"/>
      <c r="K19" s="52"/>
      <c r="L19" s="52">
        <f>IF(Sites[[#This Row],[Shipper]]="","",INDEX(Shippers[ID],MATCH(Sites[[#This Row],[Shipper]],Shippers[Code],0)))</f>
        <v>7</v>
      </c>
      <c r="M19" s="47">
        <v>938</v>
      </c>
    </row>
    <row r="20" spans="2:13">
      <c r="B20" s="42">
        <f>IF(Sites[[#This Row],[Active]]=TRUE,1,0)</f>
        <v>1</v>
      </c>
      <c r="C20" s="44" t="b">
        <v>1</v>
      </c>
      <c r="D20" s="42" t="s">
        <v>139</v>
      </c>
      <c r="E20" s="45" t="s">
        <v>139</v>
      </c>
      <c r="F20" s="45" t="s">
        <v>79</v>
      </c>
      <c r="G20" s="15">
        <v>0</v>
      </c>
      <c r="H20" s="15">
        <v>0</v>
      </c>
      <c r="I20" s="15">
        <v>0</v>
      </c>
      <c r="J20" s="52"/>
      <c r="K20" s="52"/>
      <c r="L20" s="52">
        <f>IF(Sites[[#This Row],[Shipper]]="","",INDEX(Shippers[ID],MATCH(Sites[[#This Row],[Shipper]],Shippers[Code],0)))</f>
        <v>7</v>
      </c>
      <c r="M20" s="47">
        <v>939</v>
      </c>
    </row>
    <row r="21" spans="2:13">
      <c r="B21" s="42">
        <f>IF(Sites[[#This Row],[Active]]=TRUE,1,0)</f>
        <v>1</v>
      </c>
      <c r="C21" s="44" t="b">
        <v>1</v>
      </c>
      <c r="D21" s="42" t="s">
        <v>140</v>
      </c>
      <c r="E21" s="45" t="s">
        <v>140</v>
      </c>
      <c r="F21" s="45" t="s">
        <v>79</v>
      </c>
      <c r="G21" s="15">
        <v>0</v>
      </c>
      <c r="H21" s="15">
        <v>0</v>
      </c>
      <c r="I21" s="15">
        <v>0</v>
      </c>
      <c r="J21" s="52"/>
      <c r="K21" s="52"/>
      <c r="L21" s="52">
        <f>IF(Sites[[#This Row],[Shipper]]="","",INDEX(Shippers[ID],MATCH(Sites[[#This Row],[Shipper]],Shippers[Code],0)))</f>
        <v>7</v>
      </c>
      <c r="M21" s="47">
        <v>940</v>
      </c>
    </row>
    <row r="22" spans="2:13">
      <c r="B22" s="42">
        <f>IF(Sites[[#This Row],[Active]]=TRUE,1,0)</f>
        <v>1</v>
      </c>
      <c r="C22" s="44" t="b">
        <v>1</v>
      </c>
      <c r="D22" s="42" t="s">
        <v>141</v>
      </c>
      <c r="E22" s="45" t="s">
        <v>141</v>
      </c>
      <c r="F22" s="45" t="s">
        <v>79</v>
      </c>
      <c r="G22" s="15">
        <v>0</v>
      </c>
      <c r="H22" s="15">
        <v>0</v>
      </c>
      <c r="I22" s="15">
        <v>0</v>
      </c>
      <c r="J22" s="52"/>
      <c r="K22" s="52"/>
      <c r="L22" s="52">
        <f>IF(Sites[[#This Row],[Shipper]]="","",INDEX(Shippers[ID],MATCH(Sites[[#This Row],[Shipper]],Shippers[Code],0)))</f>
        <v>7</v>
      </c>
      <c r="M22" s="47">
        <v>941</v>
      </c>
    </row>
    <row r="23" spans="2:13">
      <c r="B23" s="42">
        <f>IF(Sites[[#This Row],[Active]]=TRUE,1,0)</f>
        <v>1</v>
      </c>
      <c r="C23" s="44" t="b">
        <v>1</v>
      </c>
      <c r="D23" s="42" t="s">
        <v>142</v>
      </c>
      <c r="E23" s="45" t="s">
        <v>142</v>
      </c>
      <c r="F23" s="45" t="s">
        <v>79</v>
      </c>
      <c r="G23" s="15">
        <v>0</v>
      </c>
      <c r="H23" s="15">
        <v>0</v>
      </c>
      <c r="I23" s="15">
        <v>0</v>
      </c>
      <c r="J23" s="52"/>
      <c r="K23" s="52"/>
      <c r="L23" s="52">
        <f>IF(Sites[[#This Row],[Shipper]]="","",INDEX(Shippers[ID],MATCH(Sites[[#This Row],[Shipper]],Shippers[Code],0)))</f>
        <v>7</v>
      </c>
      <c r="M23" s="47">
        <v>942</v>
      </c>
    </row>
    <row r="24" spans="2:13">
      <c r="B24" s="42">
        <f>IF(Sites[[#This Row],[Active]]=TRUE,1,0)</f>
        <v>1</v>
      </c>
      <c r="C24" s="44" t="b">
        <v>1</v>
      </c>
      <c r="D24" s="42" t="s">
        <v>92</v>
      </c>
      <c r="E24" s="45" t="s">
        <v>92</v>
      </c>
      <c r="F24" s="45" t="s">
        <v>92</v>
      </c>
      <c r="G24" s="15">
        <v>0</v>
      </c>
      <c r="H24" s="15">
        <v>0</v>
      </c>
      <c r="I24" s="15">
        <v>0</v>
      </c>
      <c r="J24" s="52"/>
      <c r="K24" s="52"/>
      <c r="L24" s="52">
        <f>IF(Sites[[#This Row],[Shipper]]="","",INDEX(Shippers[ID],MATCH(Sites[[#This Row],[Shipper]],Shippers[Code],0)))</f>
        <v>21</v>
      </c>
      <c r="M24" s="47">
        <v>943</v>
      </c>
    </row>
    <row r="25" spans="2:13">
      <c r="B25" s="42">
        <f>IF(Sites[[#This Row],[Active]]=TRUE,1,0)</f>
        <v>1</v>
      </c>
      <c r="C25" s="44" t="b">
        <v>1</v>
      </c>
      <c r="D25" s="42" t="s">
        <v>80</v>
      </c>
      <c r="E25" s="45" t="s">
        <v>80</v>
      </c>
      <c r="F25" s="45" t="s">
        <v>80</v>
      </c>
      <c r="G25" s="15">
        <v>0</v>
      </c>
      <c r="H25" s="15">
        <v>0</v>
      </c>
      <c r="I25" s="15">
        <v>0</v>
      </c>
      <c r="J25" s="52"/>
      <c r="K25" s="52"/>
      <c r="L25" s="52">
        <f>IF(Sites[[#This Row],[Shipper]]="","",INDEX(Shippers[ID],MATCH(Sites[[#This Row],[Shipper]],Shippers[Code],0)))</f>
        <v>8</v>
      </c>
      <c r="M25" s="47">
        <v>944</v>
      </c>
    </row>
    <row r="26" spans="2:13">
      <c r="B26" s="42">
        <f>IF(Sites[[#This Row],[Active]]=TRUE,1,0)</f>
        <v>1</v>
      </c>
      <c r="C26" s="44" t="b">
        <v>1</v>
      </c>
      <c r="D26" s="42" t="s">
        <v>81</v>
      </c>
      <c r="E26" s="45" t="s">
        <v>81</v>
      </c>
      <c r="F26" s="45" t="s">
        <v>81</v>
      </c>
      <c r="G26" s="15">
        <v>0</v>
      </c>
      <c r="H26" s="15">
        <v>0</v>
      </c>
      <c r="I26" s="15">
        <v>0</v>
      </c>
      <c r="J26" s="52"/>
      <c r="K26" s="52"/>
      <c r="L26" s="52">
        <f>IF(Sites[[#This Row],[Shipper]]="","",INDEX(Shippers[ID],MATCH(Sites[[#This Row],[Shipper]],Shippers[Code],0)))</f>
        <v>9</v>
      </c>
      <c r="M26" s="47">
        <v>945</v>
      </c>
    </row>
    <row r="27" spans="2:13">
      <c r="B27" s="42">
        <f>IF(Sites[[#This Row],[Active]]=TRUE,1,0)</f>
        <v>1</v>
      </c>
      <c r="C27" s="44" t="b">
        <v>1</v>
      </c>
      <c r="D27" s="42" t="s">
        <v>82</v>
      </c>
      <c r="E27" s="45" t="s">
        <v>82</v>
      </c>
      <c r="F27" s="45" t="s">
        <v>82</v>
      </c>
      <c r="G27" s="15">
        <v>0</v>
      </c>
      <c r="H27" s="15">
        <v>0</v>
      </c>
      <c r="I27" s="15">
        <v>0</v>
      </c>
      <c r="J27" s="52"/>
      <c r="K27" s="52"/>
      <c r="L27" s="52">
        <f>IF(Sites[[#This Row],[Shipper]]="","",INDEX(Shippers[ID],MATCH(Sites[[#This Row],[Shipper]],Shippers[Code],0)))</f>
        <v>10</v>
      </c>
      <c r="M27" s="47">
        <v>946</v>
      </c>
    </row>
    <row r="28" spans="2:13">
      <c r="B28" s="42">
        <f>IF(Sites[[#This Row],[Active]]=TRUE,1,0)</f>
        <v>1</v>
      </c>
      <c r="C28" s="44" t="b">
        <v>1</v>
      </c>
      <c r="D28" s="42" t="s">
        <v>143</v>
      </c>
      <c r="E28" s="45" t="s">
        <v>143</v>
      </c>
      <c r="F28" s="45" t="s">
        <v>84</v>
      </c>
      <c r="G28" s="15">
        <v>0</v>
      </c>
      <c r="H28" s="15">
        <v>0</v>
      </c>
      <c r="I28" s="15">
        <v>0</v>
      </c>
      <c r="J28" s="52"/>
      <c r="K28" s="52"/>
      <c r="L28" s="52">
        <f>IF(Sites[[#This Row],[Shipper]]="","",INDEX(Shippers[ID],MATCH(Sites[[#This Row],[Shipper]],Shippers[Code],0)))</f>
        <v>13</v>
      </c>
      <c r="M28" s="47">
        <v>947</v>
      </c>
    </row>
    <row r="29" spans="2:13">
      <c r="B29" s="42">
        <f>IF(Sites[[#This Row],[Active]]=TRUE,1,0)</f>
        <v>1</v>
      </c>
      <c r="C29" s="44" t="b">
        <v>1</v>
      </c>
      <c r="D29" s="42" t="s">
        <v>144</v>
      </c>
      <c r="E29" s="45" t="s">
        <v>144</v>
      </c>
      <c r="F29" s="45" t="s">
        <v>84</v>
      </c>
      <c r="G29" s="15">
        <v>0</v>
      </c>
      <c r="H29" s="15">
        <v>0</v>
      </c>
      <c r="I29" s="15">
        <v>0</v>
      </c>
      <c r="J29" s="52"/>
      <c r="K29" s="52"/>
      <c r="L29" s="52">
        <f>IF(Sites[[#This Row],[Shipper]]="","",INDEX(Shippers[ID],MATCH(Sites[[#This Row],[Shipper]],Shippers[Code],0)))</f>
        <v>13</v>
      </c>
      <c r="M29" s="47">
        <v>948</v>
      </c>
    </row>
    <row r="30" spans="2:13">
      <c r="B30" s="42">
        <f>IF(Sites[[#This Row],[Active]]=TRUE,1,0)</f>
        <v>1</v>
      </c>
      <c r="C30" s="44" t="b">
        <v>1</v>
      </c>
      <c r="D30" s="42" t="s">
        <v>83</v>
      </c>
      <c r="E30" s="45" t="s">
        <v>83</v>
      </c>
      <c r="F30" s="45" t="s">
        <v>83</v>
      </c>
      <c r="G30" s="15">
        <v>0</v>
      </c>
      <c r="H30" s="15">
        <v>0</v>
      </c>
      <c r="I30" s="15">
        <v>0</v>
      </c>
      <c r="J30" s="52"/>
      <c r="K30" s="52"/>
      <c r="L30" s="52">
        <f>IF(Sites[[#This Row],[Shipper]]="","",INDEX(Shippers[ID],MATCH(Sites[[#This Row],[Shipper]],Shippers[Code],0)))</f>
        <v>11</v>
      </c>
      <c r="M30" s="47">
        <v>949</v>
      </c>
    </row>
    <row r="31" spans="2:13">
      <c r="B31" s="42">
        <f>IF(Sites[[#This Row],[Active]]=TRUE,1,0)</f>
        <v>1</v>
      </c>
      <c r="C31" s="44" t="b">
        <v>1</v>
      </c>
      <c r="D31" s="42" t="s">
        <v>145</v>
      </c>
      <c r="E31" s="45" t="s">
        <v>145</v>
      </c>
      <c r="F31" s="45" t="s">
        <v>30</v>
      </c>
      <c r="G31" s="15">
        <v>0</v>
      </c>
      <c r="H31" s="15">
        <v>0</v>
      </c>
      <c r="I31" s="15">
        <v>0</v>
      </c>
      <c r="J31" s="52"/>
      <c r="K31" s="52"/>
      <c r="L31" s="52">
        <f>IF(Sites[[#This Row],[Shipper]]="","",INDEX(Shippers[ID],MATCH(Sites[[#This Row],[Shipper]],Shippers[Code],0)))</f>
        <v>12</v>
      </c>
      <c r="M31" s="47">
        <v>950</v>
      </c>
    </row>
    <row r="32" spans="2:13">
      <c r="B32" s="42">
        <f>IF(Sites[[#This Row],[Active]]=TRUE,1,0)</f>
        <v>1</v>
      </c>
      <c r="C32" s="44" t="b">
        <v>1</v>
      </c>
      <c r="D32" s="42" t="s">
        <v>146</v>
      </c>
      <c r="E32" s="45" t="s">
        <v>146</v>
      </c>
      <c r="F32" s="45" t="s">
        <v>30</v>
      </c>
      <c r="G32" s="15">
        <v>0</v>
      </c>
      <c r="H32" s="15">
        <v>0</v>
      </c>
      <c r="I32" s="15">
        <v>0</v>
      </c>
      <c r="J32" s="52"/>
      <c r="K32" s="52"/>
      <c r="L32" s="52">
        <f>IF(Sites[[#This Row],[Shipper]]="","",INDEX(Shippers[ID],MATCH(Sites[[#This Row],[Shipper]],Shippers[Code],0)))</f>
        <v>12</v>
      </c>
      <c r="M32" s="47">
        <v>951</v>
      </c>
    </row>
    <row r="33" spans="2:13">
      <c r="B33" s="42">
        <f>IF(Sites[[#This Row],[Active]]=TRUE,1,0)</f>
        <v>1</v>
      </c>
      <c r="C33" s="44" t="b">
        <v>1</v>
      </c>
      <c r="D33" s="42" t="s">
        <v>84</v>
      </c>
      <c r="E33" s="45" t="s">
        <v>84</v>
      </c>
      <c r="F33" s="45" t="s">
        <v>84</v>
      </c>
      <c r="G33" s="15">
        <v>0</v>
      </c>
      <c r="H33" s="15">
        <v>0</v>
      </c>
      <c r="I33" s="15">
        <v>0</v>
      </c>
      <c r="J33" s="52"/>
      <c r="K33" s="52"/>
      <c r="L33" s="52">
        <f>IF(Sites[[#This Row],[Shipper]]="","",INDEX(Shippers[ID],MATCH(Sites[[#This Row],[Shipper]],Shippers[Code],0)))</f>
        <v>13</v>
      </c>
      <c r="M33" s="47">
        <v>952</v>
      </c>
    </row>
    <row r="34" spans="2:13">
      <c r="B34" s="42">
        <f>IF(Sites[[#This Row],[Active]]=TRUE,1,0)</f>
        <v>1</v>
      </c>
      <c r="C34" s="44" t="b">
        <v>1</v>
      </c>
      <c r="D34" s="42" t="s">
        <v>147</v>
      </c>
      <c r="E34" s="45" t="s">
        <v>147</v>
      </c>
      <c r="F34" s="45" t="s">
        <v>78</v>
      </c>
      <c r="G34" s="15">
        <v>0</v>
      </c>
      <c r="H34" s="15">
        <v>0</v>
      </c>
      <c r="I34" s="15">
        <v>0</v>
      </c>
      <c r="J34" s="52"/>
      <c r="K34" s="52"/>
      <c r="L34" s="52">
        <f>IF(Sites[[#This Row],[Shipper]]="","",INDEX(Shippers[ID],MATCH(Sites[[#This Row],[Shipper]],Shippers[Code],0)))</f>
        <v>6</v>
      </c>
      <c r="M34" s="47">
        <v>953</v>
      </c>
    </row>
    <row r="35" spans="2:13">
      <c r="B35" s="42">
        <f>IF(Sites[[#This Row],[Active]]=TRUE,1,0)</f>
        <v>1</v>
      </c>
      <c r="C35" s="44" t="b">
        <v>1</v>
      </c>
      <c r="D35" s="42" t="s">
        <v>85</v>
      </c>
      <c r="E35" s="45" t="s">
        <v>85</v>
      </c>
      <c r="F35" s="45" t="s">
        <v>85</v>
      </c>
      <c r="G35" s="15">
        <v>0</v>
      </c>
      <c r="H35" s="15">
        <v>0</v>
      </c>
      <c r="I35" s="15">
        <v>0</v>
      </c>
      <c r="J35" s="52"/>
      <c r="K35" s="52"/>
      <c r="L35" s="52">
        <f>IF(Sites[[#This Row],[Shipper]]="","",INDEX(Shippers[ID],MATCH(Sites[[#This Row],[Shipper]],Shippers[Code],0)))</f>
        <v>14</v>
      </c>
      <c r="M35" s="47">
        <v>954</v>
      </c>
    </row>
    <row r="36" spans="2:13">
      <c r="B36" s="42">
        <f>IF(Sites[[#This Row],[Active]]=TRUE,1,0)</f>
        <v>1</v>
      </c>
      <c r="C36" s="44" t="b">
        <v>1</v>
      </c>
      <c r="D36" s="42" t="s">
        <v>148</v>
      </c>
      <c r="E36" s="45" t="s">
        <v>148</v>
      </c>
      <c r="F36" s="45" t="s">
        <v>81</v>
      </c>
      <c r="G36" s="15">
        <v>0</v>
      </c>
      <c r="H36" s="15">
        <v>0</v>
      </c>
      <c r="I36" s="15">
        <v>0</v>
      </c>
      <c r="J36" s="52"/>
      <c r="K36" s="52"/>
      <c r="L36" s="52">
        <f>IF(Sites[[#This Row],[Shipper]]="","",INDEX(Shippers[ID],MATCH(Sites[[#This Row],[Shipper]],Shippers[Code],0)))</f>
        <v>9</v>
      </c>
      <c r="M36" s="47">
        <v>955</v>
      </c>
    </row>
    <row r="37" spans="2:13">
      <c r="B37" s="42">
        <f>IF(Sites[[#This Row],[Active]]=TRUE,1,0)</f>
        <v>1</v>
      </c>
      <c r="C37" s="44" t="b">
        <v>1</v>
      </c>
      <c r="D37" s="42" t="s">
        <v>86</v>
      </c>
      <c r="E37" s="45" t="s">
        <v>86</v>
      </c>
      <c r="F37" s="45" t="s">
        <v>81</v>
      </c>
      <c r="G37" s="15">
        <v>0</v>
      </c>
      <c r="H37" s="15">
        <v>0</v>
      </c>
      <c r="I37" s="15">
        <v>0</v>
      </c>
      <c r="J37" s="52"/>
      <c r="K37" s="52"/>
      <c r="L37" s="52">
        <f>IF(Sites[[#This Row],[Shipper]]="","",INDEX(Shippers[ID],MATCH(Sites[[#This Row],[Shipper]],Shippers[Code],0)))</f>
        <v>9</v>
      </c>
      <c r="M37" s="47">
        <v>956</v>
      </c>
    </row>
    <row r="38" spans="2:13">
      <c r="B38" s="42">
        <f>IF(Sites[[#This Row],[Active]]=TRUE,1,0)</f>
        <v>1</v>
      </c>
      <c r="C38" s="44" t="b">
        <v>1</v>
      </c>
      <c r="D38" s="42" t="s">
        <v>87</v>
      </c>
      <c r="E38" s="45" t="s">
        <v>87</v>
      </c>
      <c r="F38" s="45" t="s">
        <v>87</v>
      </c>
      <c r="G38" s="15">
        <v>0</v>
      </c>
      <c r="H38" s="15">
        <v>0</v>
      </c>
      <c r="I38" s="15">
        <v>0</v>
      </c>
      <c r="J38" s="52"/>
      <c r="K38" s="52"/>
      <c r="L38" s="52">
        <f>IF(Sites[[#This Row],[Shipper]]="","",INDEX(Shippers[ID],MATCH(Sites[[#This Row],[Shipper]],Shippers[Code],0)))</f>
        <v>16</v>
      </c>
      <c r="M38" s="47">
        <v>957</v>
      </c>
    </row>
    <row r="39" spans="2:13">
      <c r="B39" s="42">
        <f>IF(Sites[[#This Row],[Active]]=TRUE,1,0)</f>
        <v>1</v>
      </c>
      <c r="C39" s="44" t="b">
        <v>1</v>
      </c>
      <c r="D39" s="42" t="s">
        <v>88</v>
      </c>
      <c r="E39" s="45" t="s">
        <v>88</v>
      </c>
      <c r="F39" s="45" t="s">
        <v>88</v>
      </c>
      <c r="G39" s="15">
        <v>0</v>
      </c>
      <c r="H39" s="15">
        <v>0</v>
      </c>
      <c r="I39" s="15">
        <v>0</v>
      </c>
      <c r="J39" s="52"/>
      <c r="K39" s="52"/>
      <c r="L39" s="52">
        <f>IF(Sites[[#This Row],[Shipper]]="","",INDEX(Shippers[ID],MATCH(Sites[[#This Row],[Shipper]],Shippers[Code],0)))</f>
        <v>17</v>
      </c>
      <c r="M39" s="47">
        <v>958</v>
      </c>
    </row>
    <row r="40" spans="2:13">
      <c r="B40" s="42">
        <f>IF(Sites[[#This Row],[Active]]=TRUE,1,0)</f>
        <v>1</v>
      </c>
      <c r="C40" s="44" t="b">
        <v>1</v>
      </c>
      <c r="D40" s="42" t="s">
        <v>89</v>
      </c>
      <c r="E40" s="45" t="s">
        <v>89</v>
      </c>
      <c r="F40" s="45" t="s">
        <v>89</v>
      </c>
      <c r="G40" s="15">
        <v>0</v>
      </c>
      <c r="H40" s="15">
        <v>0</v>
      </c>
      <c r="I40" s="15">
        <v>0</v>
      </c>
      <c r="J40" s="52"/>
      <c r="K40" s="52"/>
      <c r="L40" s="52">
        <f>IF(Sites[[#This Row],[Shipper]]="","",INDEX(Shippers[ID],MATCH(Sites[[#This Row],[Shipper]],Shippers[Code],0)))</f>
        <v>18</v>
      </c>
      <c r="M40" s="47">
        <v>959</v>
      </c>
    </row>
    <row r="41" spans="2:13">
      <c r="B41" s="42">
        <f>IF(Sites[[#This Row],[Active]]=TRUE,1,0)</f>
        <v>1</v>
      </c>
      <c r="C41" s="44" t="b">
        <v>1</v>
      </c>
      <c r="D41" s="42" t="s">
        <v>149</v>
      </c>
      <c r="E41" s="45" t="s">
        <v>149</v>
      </c>
      <c r="F41" s="45" t="s">
        <v>90</v>
      </c>
      <c r="G41" s="15">
        <v>0</v>
      </c>
      <c r="H41" s="15">
        <v>0</v>
      </c>
      <c r="I41" s="15">
        <v>0</v>
      </c>
      <c r="J41" s="52"/>
      <c r="K41" s="52"/>
      <c r="L41" s="52">
        <f>IF(Sites[[#This Row],[Shipper]]="","",INDEX(Shippers[ID],MATCH(Sites[[#This Row],[Shipper]],Shippers[Code],0)))</f>
        <v>19</v>
      </c>
      <c r="M41" s="47">
        <v>960</v>
      </c>
    </row>
    <row r="42" spans="2:13">
      <c r="B42" s="42">
        <f>IF(Sites[[#This Row],[Active]]=TRUE,1,0)</f>
        <v>1</v>
      </c>
      <c r="C42" s="44" t="b">
        <v>1</v>
      </c>
      <c r="D42" s="42" t="s">
        <v>150</v>
      </c>
      <c r="E42" s="45" t="s">
        <v>150</v>
      </c>
      <c r="F42" s="45" t="s">
        <v>90</v>
      </c>
      <c r="G42" s="15">
        <v>0</v>
      </c>
      <c r="H42" s="15">
        <v>0</v>
      </c>
      <c r="I42" s="15">
        <v>0</v>
      </c>
      <c r="J42" s="52"/>
      <c r="K42" s="52"/>
      <c r="L42" s="52">
        <f>IF(Sites[[#This Row],[Shipper]]="","",INDEX(Shippers[ID],MATCH(Sites[[#This Row],[Shipper]],Shippers[Code],0)))</f>
        <v>19</v>
      </c>
      <c r="M42" s="47">
        <v>961</v>
      </c>
    </row>
    <row r="43" spans="2:13">
      <c r="B43" s="42">
        <f>IF(Sites[[#This Row],[Active]]=TRUE,1,0)</f>
        <v>1</v>
      </c>
      <c r="C43" s="44" t="b">
        <v>1</v>
      </c>
      <c r="D43" s="42" t="s">
        <v>91</v>
      </c>
      <c r="E43" s="45" t="s">
        <v>91</v>
      </c>
      <c r="F43" s="45" t="s">
        <v>91</v>
      </c>
      <c r="G43" s="15">
        <v>0</v>
      </c>
      <c r="H43" s="15">
        <v>0</v>
      </c>
      <c r="I43" s="15">
        <v>0</v>
      </c>
      <c r="J43" s="52"/>
      <c r="K43" s="52"/>
      <c r="L43" s="52">
        <f>IF(Sites[[#This Row],[Shipper]]="","",INDEX(Shippers[ID],MATCH(Sites[[#This Row],[Shipper]],Shippers[Code],0)))</f>
        <v>20</v>
      </c>
      <c r="M43" s="47">
        <v>962</v>
      </c>
    </row>
    <row r="44" spans="2:13">
      <c r="B44" s="42">
        <f>IF(Sites[[#This Row],[Active]]=TRUE,1,0)</f>
        <v>1</v>
      </c>
      <c r="C44" s="44" t="b">
        <v>1</v>
      </c>
      <c r="D44" s="42" t="s">
        <v>151</v>
      </c>
      <c r="E44" s="45" t="s">
        <v>151</v>
      </c>
      <c r="F44" s="45" t="s">
        <v>93</v>
      </c>
      <c r="G44" s="15">
        <v>0</v>
      </c>
      <c r="H44" s="15">
        <v>0</v>
      </c>
      <c r="I44" s="15">
        <v>0</v>
      </c>
      <c r="J44" s="52"/>
      <c r="K44" s="52"/>
      <c r="L44" s="52">
        <f>IF(Sites[[#This Row],[Shipper]]="","",INDEX(Shippers[ID],MATCH(Sites[[#This Row],[Shipper]],Shippers[Code],0)))</f>
        <v>22</v>
      </c>
      <c r="M44" s="47">
        <v>964</v>
      </c>
    </row>
    <row r="45" spans="2:13">
      <c r="B45" s="42">
        <f>IF(Sites[[#This Row],[Active]]=TRUE,1,0)</f>
        <v>1</v>
      </c>
      <c r="C45" s="44" t="b">
        <v>1</v>
      </c>
      <c r="D45" s="42" t="s">
        <v>152</v>
      </c>
      <c r="E45" s="45" t="s">
        <v>152</v>
      </c>
      <c r="F45" s="45" t="s">
        <v>93</v>
      </c>
      <c r="G45" s="15">
        <v>0</v>
      </c>
      <c r="H45" s="15">
        <v>0</v>
      </c>
      <c r="I45" s="15">
        <v>0</v>
      </c>
      <c r="J45" s="52"/>
      <c r="K45" s="52"/>
      <c r="L45" s="52">
        <f>IF(Sites[[#This Row],[Shipper]]="","",INDEX(Shippers[ID],MATCH(Sites[[#This Row],[Shipper]],Shippers[Code],0)))</f>
        <v>22</v>
      </c>
      <c r="M45" s="47">
        <v>965</v>
      </c>
    </row>
    <row r="46" spans="2:13">
      <c r="B46" s="42">
        <f>IF(Sites[[#This Row],[Active]]=TRUE,1,0)</f>
        <v>1</v>
      </c>
      <c r="C46" s="44" t="b">
        <v>1</v>
      </c>
      <c r="D46" s="42" t="s">
        <v>153</v>
      </c>
      <c r="E46" s="45" t="s">
        <v>153</v>
      </c>
      <c r="F46" s="45" t="s">
        <v>79</v>
      </c>
      <c r="G46" s="15">
        <v>0</v>
      </c>
      <c r="H46" s="15">
        <v>0</v>
      </c>
      <c r="I46" s="15">
        <v>0</v>
      </c>
      <c r="J46" s="52"/>
      <c r="K46" s="52"/>
      <c r="L46" s="52">
        <f>IF(Sites[[#This Row],[Shipper]]="","",INDEX(Shippers[ID],MATCH(Sites[[#This Row],[Shipper]],Shippers[Code],0)))</f>
        <v>7</v>
      </c>
      <c r="M46" s="47">
        <v>966</v>
      </c>
    </row>
    <row r="47" spans="2:13">
      <c r="B47" s="42">
        <f>IF(Sites[[#This Row],[Active]]=TRUE,1,0)</f>
        <v>1</v>
      </c>
      <c r="C47" s="44" t="b">
        <v>1</v>
      </c>
      <c r="D47" s="42" t="s">
        <v>154</v>
      </c>
      <c r="E47" s="45" t="s">
        <v>154</v>
      </c>
      <c r="F47" s="45" t="s">
        <v>79</v>
      </c>
      <c r="G47" s="15">
        <v>0</v>
      </c>
      <c r="H47" s="15">
        <v>0</v>
      </c>
      <c r="I47" s="15">
        <v>0</v>
      </c>
      <c r="J47" s="52"/>
      <c r="K47" s="52"/>
      <c r="L47" s="52">
        <f>IF(Sites[[#This Row],[Shipper]]="","",INDEX(Shippers[ID],MATCH(Sites[[#This Row],[Shipper]],Shippers[Code],0)))</f>
        <v>7</v>
      </c>
      <c r="M47" s="47">
        <v>967</v>
      </c>
    </row>
    <row r="48" spans="2:13">
      <c r="B48" s="42">
        <f>IF(Sites[[#This Row],[Active]]=TRUE,1,0)</f>
        <v>1</v>
      </c>
      <c r="C48" s="44" t="b">
        <v>1</v>
      </c>
      <c r="D48" s="42" t="s">
        <v>155</v>
      </c>
      <c r="E48" s="45" t="s">
        <v>155</v>
      </c>
      <c r="F48" s="45" t="s">
        <v>79</v>
      </c>
      <c r="G48" s="15">
        <v>0</v>
      </c>
      <c r="H48" s="15">
        <v>0</v>
      </c>
      <c r="I48" s="15">
        <v>0</v>
      </c>
      <c r="J48" s="52"/>
      <c r="K48" s="52"/>
      <c r="L48" s="52">
        <f>IF(Sites[[#This Row],[Shipper]]="","",INDEX(Shippers[ID],MATCH(Sites[[#This Row],[Shipper]],Shippers[Code],0)))</f>
        <v>7</v>
      </c>
      <c r="M48" s="47">
        <v>968</v>
      </c>
    </row>
    <row r="49" spans="2:13">
      <c r="B49" s="42">
        <f>IF(Sites[[#This Row],[Active]]=TRUE,1,0)</f>
        <v>1</v>
      </c>
      <c r="C49" s="44" t="b">
        <v>1</v>
      </c>
      <c r="D49" s="42" t="s">
        <v>156</v>
      </c>
      <c r="E49" s="45" t="s">
        <v>156</v>
      </c>
      <c r="F49" s="45" t="s">
        <v>90</v>
      </c>
      <c r="G49" s="15">
        <v>0</v>
      </c>
      <c r="H49" s="15">
        <v>0</v>
      </c>
      <c r="I49" s="15">
        <v>0</v>
      </c>
      <c r="J49" s="52"/>
      <c r="K49" s="52"/>
      <c r="L49" s="52">
        <f>IF(Sites[[#This Row],[Shipper]]="","",INDEX(Shippers[ID],MATCH(Sites[[#This Row],[Shipper]],Shippers[Code],0)))</f>
        <v>19</v>
      </c>
      <c r="M49" s="47">
        <v>969</v>
      </c>
    </row>
    <row r="50" spans="2:13">
      <c r="B50" s="42">
        <f>IF(Sites[[#This Row],[Active]]=TRUE,1,0)</f>
        <v>1</v>
      </c>
      <c r="C50" s="44" t="b">
        <v>1</v>
      </c>
      <c r="D50" s="42" t="s">
        <v>157</v>
      </c>
      <c r="E50" s="45" t="s">
        <v>157</v>
      </c>
      <c r="F50" s="45" t="s">
        <v>94</v>
      </c>
      <c r="G50" s="15">
        <v>0</v>
      </c>
      <c r="H50" s="15">
        <v>0</v>
      </c>
      <c r="I50" s="15">
        <v>0</v>
      </c>
      <c r="J50" s="52"/>
      <c r="K50" s="52"/>
      <c r="L50" s="52">
        <f>IF(Sites[[#This Row],[Shipper]]="","",INDEX(Shippers[ID],MATCH(Sites[[#This Row],[Shipper]],Shippers[Code],0)))</f>
        <v>23</v>
      </c>
      <c r="M50" s="47">
        <v>982</v>
      </c>
    </row>
    <row r="51" spans="2:13">
      <c r="B51" s="42">
        <f>IF(Sites[[#This Row],[Active]]=TRUE,1,0)</f>
        <v>1</v>
      </c>
      <c r="C51" s="44" t="b">
        <v>1</v>
      </c>
      <c r="D51" s="42" t="s">
        <v>158</v>
      </c>
      <c r="E51" s="45" t="s">
        <v>158</v>
      </c>
      <c r="F51" s="45" t="s">
        <v>94</v>
      </c>
      <c r="G51" s="15">
        <v>0</v>
      </c>
      <c r="H51" s="15">
        <v>0</v>
      </c>
      <c r="I51" s="15">
        <v>0</v>
      </c>
      <c r="J51" s="52"/>
      <c r="K51" s="52"/>
      <c r="L51" s="52">
        <f>IF(Sites[[#This Row],[Shipper]]="","",INDEX(Shippers[ID],MATCH(Sites[[#This Row],[Shipper]],Shippers[Code],0)))</f>
        <v>23</v>
      </c>
      <c r="M51" s="47">
        <v>983</v>
      </c>
    </row>
    <row r="52" spans="2:13">
      <c r="B52" s="42">
        <f>IF(Sites[[#This Row],[Active]]=TRUE,1,0)</f>
        <v>1</v>
      </c>
      <c r="C52" s="44" t="b">
        <v>1</v>
      </c>
      <c r="D52" s="42" t="s">
        <v>159</v>
      </c>
      <c r="E52" s="45" t="s">
        <v>159</v>
      </c>
      <c r="F52" s="45" t="s">
        <v>94</v>
      </c>
      <c r="G52" s="15">
        <v>0</v>
      </c>
      <c r="H52" s="15">
        <v>0</v>
      </c>
      <c r="I52" s="15">
        <v>0</v>
      </c>
      <c r="J52" s="52"/>
      <c r="K52" s="52"/>
      <c r="L52" s="52">
        <f>IF(Sites[[#This Row],[Shipper]]="","",INDEX(Shippers[ID],MATCH(Sites[[#This Row],[Shipper]],Shippers[Code],0)))</f>
        <v>23</v>
      </c>
      <c r="M52" s="47">
        <v>984</v>
      </c>
    </row>
    <row r="53" spans="2:13">
      <c r="B53" s="42">
        <f>IF(Sites[[#This Row],[Active]]=TRUE,1,0)</f>
        <v>1</v>
      </c>
      <c r="C53" s="44" t="b">
        <v>1</v>
      </c>
      <c r="D53" s="42" t="s">
        <v>160</v>
      </c>
      <c r="E53" s="45" t="s">
        <v>160</v>
      </c>
      <c r="F53" s="45" t="s">
        <v>94</v>
      </c>
      <c r="G53" s="15">
        <v>0</v>
      </c>
      <c r="H53" s="15">
        <v>0</v>
      </c>
      <c r="I53" s="15">
        <v>0</v>
      </c>
      <c r="J53" s="52"/>
      <c r="K53" s="52"/>
      <c r="L53" s="52">
        <f>IF(Sites[[#This Row],[Shipper]]="","",INDEX(Shippers[ID],MATCH(Sites[[#This Row],[Shipper]],Shippers[Code],0)))</f>
        <v>23</v>
      </c>
      <c r="M53" s="47">
        <v>985</v>
      </c>
    </row>
    <row r="54" spans="2:13">
      <c r="B54" s="42">
        <f>IF(Sites[[#This Row],[Active]]=TRUE,1,0)</f>
        <v>1</v>
      </c>
      <c r="C54" s="44" t="b">
        <v>1</v>
      </c>
      <c r="D54" s="42" t="s">
        <v>95</v>
      </c>
      <c r="E54" s="45" t="s">
        <v>95</v>
      </c>
      <c r="F54" s="45" t="s">
        <v>95</v>
      </c>
      <c r="G54" s="15">
        <v>0</v>
      </c>
      <c r="H54" s="15">
        <v>0</v>
      </c>
      <c r="I54" s="15">
        <v>0</v>
      </c>
      <c r="J54" s="52"/>
      <c r="K54" s="52"/>
      <c r="L54" s="52">
        <f>IF(Sites[[#This Row],[Shipper]]="","",INDEX(Shippers[ID],MATCH(Sites[[#This Row],[Shipper]],Shippers[Code],0)))</f>
        <v>24</v>
      </c>
      <c r="M54" s="47">
        <v>986</v>
      </c>
    </row>
    <row r="55" spans="2:13">
      <c r="B55" s="42">
        <f>IF(Sites[[#This Row],[Active]]=TRUE,1,0)</f>
        <v>1</v>
      </c>
      <c r="C55" s="44" t="b">
        <v>1</v>
      </c>
      <c r="D55" s="42" t="s">
        <v>96</v>
      </c>
      <c r="E55" s="45" t="s">
        <v>96</v>
      </c>
      <c r="F55" s="45" t="s">
        <v>96</v>
      </c>
      <c r="G55" s="15">
        <v>0</v>
      </c>
      <c r="H55" s="15">
        <v>0</v>
      </c>
      <c r="I55" s="15">
        <v>0</v>
      </c>
      <c r="J55" s="52"/>
      <c r="K55" s="52"/>
      <c r="L55" s="52">
        <f>IF(Sites[[#This Row],[Shipper]]="","",INDEX(Shippers[ID],MATCH(Sites[[#This Row],[Shipper]],Shippers[Code],0)))</f>
        <v>25</v>
      </c>
      <c r="M55" s="47">
        <v>987</v>
      </c>
    </row>
    <row r="56" spans="2:13">
      <c r="B56" s="42">
        <f>IF(Sites[[#This Row],[Active]]=TRUE,1,0)</f>
        <v>1</v>
      </c>
      <c r="C56" s="44" t="b">
        <v>1</v>
      </c>
      <c r="D56" s="42" t="s">
        <v>161</v>
      </c>
      <c r="E56" s="45" t="s">
        <v>161</v>
      </c>
      <c r="F56" s="45" t="s">
        <v>97</v>
      </c>
      <c r="G56" s="15">
        <v>0</v>
      </c>
      <c r="H56" s="15">
        <v>0</v>
      </c>
      <c r="I56" s="15">
        <v>0</v>
      </c>
      <c r="J56" s="52"/>
      <c r="K56" s="52"/>
      <c r="L56" s="52">
        <f>IF(Sites[[#This Row],[Shipper]]="","",INDEX(Shippers[ID],MATCH(Sites[[#This Row],[Shipper]],Shippers[Code],0)))</f>
        <v>26</v>
      </c>
      <c r="M56" s="47">
        <v>988</v>
      </c>
    </row>
    <row r="57" spans="2:13">
      <c r="B57" s="42">
        <f>IF(Sites[[#This Row],[Active]]=TRUE,1,0)</f>
        <v>1</v>
      </c>
      <c r="C57" s="44" t="b">
        <v>1</v>
      </c>
      <c r="D57" s="42" t="s">
        <v>162</v>
      </c>
      <c r="E57" s="45" t="s">
        <v>162</v>
      </c>
      <c r="F57" s="45" t="s">
        <v>97</v>
      </c>
      <c r="G57" s="15">
        <v>0</v>
      </c>
      <c r="H57" s="15">
        <v>0</v>
      </c>
      <c r="I57" s="15">
        <v>0</v>
      </c>
      <c r="J57" s="52"/>
      <c r="K57" s="52"/>
      <c r="L57" s="52">
        <f>IF(Sites[[#This Row],[Shipper]]="","",INDEX(Shippers[ID],MATCH(Sites[[#This Row],[Shipper]],Shippers[Code],0)))</f>
        <v>26</v>
      </c>
      <c r="M57" s="47">
        <v>989</v>
      </c>
    </row>
    <row r="58" spans="2:13">
      <c r="B58" s="42">
        <f>IF(Sites[[#This Row],[Active]]=TRUE,1,0)</f>
        <v>1</v>
      </c>
      <c r="C58" s="44" t="b">
        <v>1</v>
      </c>
      <c r="D58" s="42" t="s">
        <v>163</v>
      </c>
      <c r="E58" s="45" t="s">
        <v>163</v>
      </c>
      <c r="F58" s="45" t="s">
        <v>79</v>
      </c>
      <c r="G58" s="15">
        <v>0</v>
      </c>
      <c r="H58" s="15">
        <v>0</v>
      </c>
      <c r="I58" s="15">
        <v>0</v>
      </c>
      <c r="J58" s="52"/>
      <c r="K58" s="52"/>
      <c r="L58" s="52">
        <f>IF(Sites[[#This Row],[Shipper]]="","",INDEX(Shippers[ID],MATCH(Sites[[#This Row],[Shipper]],Shippers[Code],0)))</f>
        <v>7</v>
      </c>
      <c r="M58" s="47">
        <v>990</v>
      </c>
    </row>
    <row r="59" spans="2:13">
      <c r="B59" s="42">
        <f>IF(Sites[[#This Row],[Active]]=TRUE,1,0)</f>
        <v>1</v>
      </c>
      <c r="C59" s="44" t="b">
        <v>1</v>
      </c>
      <c r="D59" s="42" t="s">
        <v>164</v>
      </c>
      <c r="E59" s="45" t="s">
        <v>164</v>
      </c>
      <c r="F59" s="45" t="s">
        <v>98</v>
      </c>
      <c r="G59" s="15">
        <v>0</v>
      </c>
      <c r="H59" s="15">
        <v>0</v>
      </c>
      <c r="I59" s="15">
        <v>0</v>
      </c>
      <c r="J59" s="52"/>
      <c r="K59" s="52"/>
      <c r="L59" s="52">
        <f>IF(Sites[[#This Row],[Shipper]]="","",INDEX(Shippers[ID],MATCH(Sites[[#This Row],[Shipper]],Shippers[Code],0)))</f>
        <v>27</v>
      </c>
      <c r="M59" s="47">
        <v>991</v>
      </c>
    </row>
    <row r="60" spans="2:13">
      <c r="B60" s="42">
        <f>IF(Sites[[#This Row],[Active]]=TRUE,1,0)</f>
        <v>1</v>
      </c>
      <c r="C60" s="44" t="b">
        <v>1</v>
      </c>
      <c r="D60" s="42" t="s">
        <v>165</v>
      </c>
      <c r="E60" s="45" t="s">
        <v>165</v>
      </c>
      <c r="F60" s="45" t="s">
        <v>98</v>
      </c>
      <c r="G60" s="15">
        <v>0</v>
      </c>
      <c r="H60" s="15">
        <v>0</v>
      </c>
      <c r="I60" s="15">
        <v>0</v>
      </c>
      <c r="J60" s="52"/>
      <c r="K60" s="52"/>
      <c r="L60" s="52">
        <f>IF(Sites[[#This Row],[Shipper]]="","",INDEX(Shippers[ID],MATCH(Sites[[#This Row],[Shipper]],Shippers[Code],0)))</f>
        <v>27</v>
      </c>
      <c r="M60" s="47">
        <v>992</v>
      </c>
    </row>
    <row r="61" spans="2:13">
      <c r="B61" s="42">
        <f>IF(Sites[[#This Row],[Active]]=TRUE,1,0)</f>
        <v>1</v>
      </c>
      <c r="C61" s="44" t="b">
        <v>1</v>
      </c>
      <c r="D61" s="42" t="s">
        <v>99</v>
      </c>
      <c r="E61" s="45" t="s">
        <v>99</v>
      </c>
      <c r="F61" s="45" t="s">
        <v>99</v>
      </c>
      <c r="G61" s="15">
        <v>0</v>
      </c>
      <c r="H61" s="15">
        <v>0</v>
      </c>
      <c r="I61" s="15">
        <v>0</v>
      </c>
      <c r="J61" s="52"/>
      <c r="K61" s="52"/>
      <c r="L61" s="52">
        <f>IF(Sites[[#This Row],[Shipper]]="","",INDEX(Shippers[ID],MATCH(Sites[[#This Row],[Shipper]],Shippers[Code],0)))</f>
        <v>28</v>
      </c>
      <c r="M61" s="47">
        <v>993</v>
      </c>
    </row>
    <row r="62" spans="2:13">
      <c r="B62" s="42">
        <f>IF(Sites[[#This Row],[Active]]=TRUE,1,0)</f>
        <v>1</v>
      </c>
      <c r="C62" s="44" t="b">
        <v>1</v>
      </c>
      <c r="D62" s="42" t="s">
        <v>166</v>
      </c>
      <c r="E62" s="45" t="s">
        <v>166</v>
      </c>
      <c r="F62" s="45" t="s">
        <v>79</v>
      </c>
      <c r="G62" s="15">
        <v>0</v>
      </c>
      <c r="H62" s="15">
        <v>0</v>
      </c>
      <c r="I62" s="15">
        <v>0</v>
      </c>
      <c r="J62" s="52"/>
      <c r="K62" s="52"/>
      <c r="L62" s="52">
        <f>IF(Sites[[#This Row],[Shipper]]="","",INDEX(Shippers[ID],MATCH(Sites[[#This Row],[Shipper]],Shippers[Code],0)))</f>
        <v>7</v>
      </c>
      <c r="M62" s="47">
        <v>994</v>
      </c>
    </row>
    <row r="63" spans="2:13">
      <c r="B63" s="42">
        <f>IF(Sites[[#This Row],[Active]]=TRUE,1,0)</f>
        <v>1</v>
      </c>
      <c r="C63" s="44" t="b">
        <v>1</v>
      </c>
      <c r="D63" s="42" t="s">
        <v>167</v>
      </c>
      <c r="E63" s="45" t="s">
        <v>167</v>
      </c>
      <c r="F63" s="45" t="s">
        <v>79</v>
      </c>
      <c r="G63" s="15">
        <v>0</v>
      </c>
      <c r="H63" s="15">
        <v>0</v>
      </c>
      <c r="I63" s="15">
        <v>0</v>
      </c>
      <c r="J63" s="52"/>
      <c r="K63" s="52"/>
      <c r="L63" s="52">
        <f>IF(Sites[[#This Row],[Shipper]]="","",INDEX(Shippers[ID],MATCH(Sites[[#This Row],[Shipper]],Shippers[Code],0)))</f>
        <v>7</v>
      </c>
      <c r="M63" s="47">
        <v>995</v>
      </c>
    </row>
    <row r="64" spans="2:13">
      <c r="B64" s="42">
        <f>IF(Sites[[#This Row],[Active]]=TRUE,1,0)</f>
        <v>1</v>
      </c>
      <c r="C64" s="44" t="b">
        <v>1</v>
      </c>
      <c r="D64" s="42" t="s">
        <v>168</v>
      </c>
      <c r="E64" s="45" t="s">
        <v>168</v>
      </c>
      <c r="F64" s="45" t="s">
        <v>79</v>
      </c>
      <c r="G64" s="15">
        <v>0</v>
      </c>
      <c r="H64" s="15">
        <v>0</v>
      </c>
      <c r="I64" s="15">
        <v>0</v>
      </c>
      <c r="J64" s="52"/>
      <c r="K64" s="52"/>
      <c r="L64" s="52">
        <f>IF(Sites[[#This Row],[Shipper]]="","",INDEX(Shippers[ID],MATCH(Sites[[#This Row],[Shipper]],Shippers[Code],0)))</f>
        <v>7</v>
      </c>
      <c r="M64" s="47">
        <v>996</v>
      </c>
    </row>
    <row r="65" spans="2:13">
      <c r="B65" s="42">
        <f>IF(Sites[[#This Row],[Active]]=TRUE,1,0)</f>
        <v>1</v>
      </c>
      <c r="C65" s="44" t="b">
        <v>1</v>
      </c>
      <c r="D65" s="42" t="s">
        <v>169</v>
      </c>
      <c r="E65" s="45" t="s">
        <v>169</v>
      </c>
      <c r="F65" s="45" t="s">
        <v>79</v>
      </c>
      <c r="G65" s="15">
        <v>0</v>
      </c>
      <c r="H65" s="15">
        <v>0</v>
      </c>
      <c r="I65" s="15">
        <v>0</v>
      </c>
      <c r="J65" s="52"/>
      <c r="K65" s="52"/>
      <c r="L65" s="52">
        <f>IF(Sites[[#This Row],[Shipper]]="","",INDEX(Shippers[ID],MATCH(Sites[[#This Row],[Shipper]],Shippers[Code],0)))</f>
        <v>7</v>
      </c>
      <c r="M65" s="47">
        <v>997</v>
      </c>
    </row>
    <row r="66" spans="2:13">
      <c r="B66" s="42">
        <f>IF(Sites[[#This Row],[Active]]=TRUE,1,0)</f>
        <v>1</v>
      </c>
      <c r="C66" s="44" t="b">
        <v>1</v>
      </c>
      <c r="D66" s="42" t="s">
        <v>170</v>
      </c>
      <c r="E66" s="45" t="s">
        <v>170</v>
      </c>
      <c r="F66" s="45" t="s">
        <v>79</v>
      </c>
      <c r="G66" s="15">
        <v>0</v>
      </c>
      <c r="H66" s="15">
        <v>0</v>
      </c>
      <c r="I66" s="15">
        <v>0</v>
      </c>
      <c r="J66" s="52"/>
      <c r="K66" s="52"/>
      <c r="L66" s="52">
        <f>IF(Sites[[#This Row],[Shipper]]="","",INDEX(Shippers[ID],MATCH(Sites[[#This Row],[Shipper]],Shippers[Code],0)))</f>
        <v>7</v>
      </c>
      <c r="M66" s="47">
        <v>998</v>
      </c>
    </row>
    <row r="67" spans="2:13">
      <c r="B67" s="42">
        <f>IF(Sites[[#This Row],[Active]]=TRUE,1,0)</f>
        <v>1</v>
      </c>
      <c r="C67" s="44" t="b">
        <v>1</v>
      </c>
      <c r="D67" s="42" t="s">
        <v>171</v>
      </c>
      <c r="E67" s="45" t="s">
        <v>171</v>
      </c>
      <c r="F67" s="45" t="s">
        <v>100</v>
      </c>
      <c r="G67" s="15">
        <v>0</v>
      </c>
      <c r="H67" s="15">
        <v>0</v>
      </c>
      <c r="I67" s="15">
        <v>0</v>
      </c>
      <c r="J67" s="52"/>
      <c r="K67" s="52"/>
      <c r="L67" s="52">
        <f>IF(Sites[[#This Row],[Shipper]]="","",INDEX(Shippers[ID],MATCH(Sites[[#This Row],[Shipper]],Shippers[Code],0)))</f>
        <v>29</v>
      </c>
      <c r="M67" s="47">
        <v>999</v>
      </c>
    </row>
    <row r="68" spans="2:13">
      <c r="B68" s="42">
        <f>IF(Sites[[#This Row],[Active]]=TRUE,1,0)</f>
        <v>1</v>
      </c>
      <c r="C68" s="44" t="b">
        <v>1</v>
      </c>
      <c r="D68" s="42" t="s">
        <v>172</v>
      </c>
      <c r="E68" s="45" t="s">
        <v>172</v>
      </c>
      <c r="F68" s="45" t="s">
        <v>101</v>
      </c>
      <c r="G68" s="15">
        <v>0</v>
      </c>
      <c r="H68" s="15">
        <v>0</v>
      </c>
      <c r="I68" s="15">
        <v>0</v>
      </c>
      <c r="J68" s="52"/>
      <c r="K68" s="52"/>
      <c r="L68" s="52">
        <f>IF(Sites[[#This Row],[Shipper]]="","",INDEX(Shippers[ID],MATCH(Sites[[#This Row],[Shipper]],Shippers[Code],0)))</f>
        <v>30</v>
      </c>
      <c r="M68" s="47">
        <v>1000</v>
      </c>
    </row>
    <row r="69" spans="2:13">
      <c r="B69" s="42">
        <f>IF(Sites[[#This Row],[Active]]=TRUE,1,0)</f>
        <v>1</v>
      </c>
      <c r="C69" s="44" t="b">
        <v>1</v>
      </c>
      <c r="D69" s="42" t="s">
        <v>173</v>
      </c>
      <c r="E69" s="45" t="s">
        <v>173</v>
      </c>
      <c r="F69" s="45" t="s">
        <v>101</v>
      </c>
      <c r="G69" s="15">
        <v>0</v>
      </c>
      <c r="H69" s="15">
        <v>0</v>
      </c>
      <c r="I69" s="15">
        <v>0</v>
      </c>
      <c r="J69" s="52"/>
      <c r="K69" s="52"/>
      <c r="L69" s="52">
        <f>IF(Sites[[#This Row],[Shipper]]="","",INDEX(Shippers[ID],MATCH(Sites[[#This Row],[Shipper]],Shippers[Code],0)))</f>
        <v>30</v>
      </c>
      <c r="M69" s="47">
        <v>1001</v>
      </c>
    </row>
    <row r="70" spans="2:13">
      <c r="B70" s="42">
        <f>IF(Sites[[#This Row],[Active]]=TRUE,1,0)</f>
        <v>1</v>
      </c>
      <c r="C70" s="44" t="b">
        <v>1</v>
      </c>
      <c r="D70" s="42" t="s">
        <v>174</v>
      </c>
      <c r="E70" s="45" t="s">
        <v>174</v>
      </c>
      <c r="F70" s="45" t="s">
        <v>101</v>
      </c>
      <c r="G70" s="15">
        <v>0</v>
      </c>
      <c r="H70" s="15">
        <v>0</v>
      </c>
      <c r="I70" s="15">
        <v>0</v>
      </c>
      <c r="J70" s="52"/>
      <c r="K70" s="52"/>
      <c r="L70" s="52">
        <f>IF(Sites[[#This Row],[Shipper]]="","",INDEX(Shippers[ID],MATCH(Sites[[#This Row],[Shipper]],Shippers[Code],0)))</f>
        <v>30</v>
      </c>
      <c r="M70" s="47">
        <v>1002</v>
      </c>
    </row>
    <row r="71" spans="2:13">
      <c r="B71" s="42">
        <f>IF(Sites[[#This Row],[Active]]=TRUE,1,0)</f>
        <v>1</v>
      </c>
      <c r="C71" s="44" t="b">
        <v>1</v>
      </c>
      <c r="D71" s="42" t="s">
        <v>175</v>
      </c>
      <c r="E71" s="45" t="s">
        <v>175</v>
      </c>
      <c r="F71" s="45" t="s">
        <v>101</v>
      </c>
      <c r="G71" s="15">
        <v>0</v>
      </c>
      <c r="H71" s="15">
        <v>0</v>
      </c>
      <c r="I71" s="15">
        <v>0</v>
      </c>
      <c r="J71" s="52"/>
      <c r="K71" s="52"/>
      <c r="L71" s="52">
        <f>IF(Sites[[#This Row],[Shipper]]="","",INDEX(Shippers[ID],MATCH(Sites[[#This Row],[Shipper]],Shippers[Code],0)))</f>
        <v>30</v>
      </c>
      <c r="M71" s="47">
        <v>1003</v>
      </c>
    </row>
    <row r="72" spans="2:13">
      <c r="B72" s="42">
        <f>IF(Sites[[#This Row],[Active]]=TRUE,1,0)</f>
        <v>1</v>
      </c>
      <c r="C72" s="44" t="b">
        <v>1</v>
      </c>
      <c r="D72" s="42" t="s">
        <v>176</v>
      </c>
      <c r="E72" s="45" t="s">
        <v>176</v>
      </c>
      <c r="F72" s="45" t="s">
        <v>101</v>
      </c>
      <c r="G72" s="15">
        <v>0</v>
      </c>
      <c r="H72" s="15">
        <v>0</v>
      </c>
      <c r="I72" s="15">
        <v>0</v>
      </c>
      <c r="J72" s="52"/>
      <c r="K72" s="52"/>
      <c r="L72" s="52">
        <f>IF(Sites[[#This Row],[Shipper]]="","",INDEX(Shippers[ID],MATCH(Sites[[#This Row],[Shipper]],Shippers[Code],0)))</f>
        <v>30</v>
      </c>
      <c r="M72" s="47">
        <v>1004</v>
      </c>
    </row>
    <row r="73" spans="2:13">
      <c r="B73" s="42">
        <f>IF(Sites[[#This Row],[Active]]=TRUE,1,0)</f>
        <v>1</v>
      </c>
      <c r="C73" s="44" t="b">
        <v>1</v>
      </c>
      <c r="D73" s="42" t="s">
        <v>102</v>
      </c>
      <c r="E73" s="45" t="s">
        <v>102</v>
      </c>
      <c r="F73" s="45" t="s">
        <v>102</v>
      </c>
      <c r="G73" s="15">
        <v>0</v>
      </c>
      <c r="H73" s="15">
        <v>0</v>
      </c>
      <c r="I73" s="15">
        <v>0</v>
      </c>
      <c r="J73" s="52"/>
      <c r="K73" s="52"/>
      <c r="L73" s="52">
        <f>IF(Sites[[#This Row],[Shipper]]="","",INDEX(Shippers[ID],MATCH(Sites[[#This Row],[Shipper]],Shippers[Code],0)))</f>
        <v>31</v>
      </c>
      <c r="M73" s="47">
        <v>1005</v>
      </c>
    </row>
    <row r="74" spans="2:13">
      <c r="B74" s="42">
        <f>IF(Sites[[#This Row],[Active]]=TRUE,1,0)</f>
        <v>1</v>
      </c>
      <c r="C74" s="44" t="b">
        <v>1</v>
      </c>
      <c r="D74" s="42" t="s">
        <v>103</v>
      </c>
      <c r="E74" s="45" t="s">
        <v>103</v>
      </c>
      <c r="F74" s="45" t="s">
        <v>103</v>
      </c>
      <c r="G74" s="15">
        <v>0</v>
      </c>
      <c r="H74" s="15">
        <v>0</v>
      </c>
      <c r="I74" s="15">
        <v>0</v>
      </c>
      <c r="J74" s="52"/>
      <c r="K74" s="52"/>
      <c r="L74" s="52">
        <f>IF(Sites[[#This Row],[Shipper]]="","",INDEX(Shippers[ID],MATCH(Sites[[#This Row],[Shipper]],Shippers[Code],0)))</f>
        <v>32</v>
      </c>
      <c r="M74" s="47">
        <v>1006</v>
      </c>
    </row>
    <row r="75" spans="2:13">
      <c r="B75" s="42">
        <f>IF(Sites[[#This Row],[Active]]=TRUE,1,0)</f>
        <v>1</v>
      </c>
      <c r="C75" s="44" t="b">
        <v>1</v>
      </c>
      <c r="D75" s="42" t="s">
        <v>177</v>
      </c>
      <c r="E75" s="45" t="s">
        <v>177</v>
      </c>
      <c r="F75" s="45" t="s">
        <v>93</v>
      </c>
      <c r="G75" s="15">
        <v>0</v>
      </c>
      <c r="H75" s="15">
        <v>0</v>
      </c>
      <c r="I75" s="15">
        <v>0</v>
      </c>
      <c r="J75" s="52"/>
      <c r="K75" s="52"/>
      <c r="L75" s="52">
        <f>IF(Sites[[#This Row],[Shipper]]="","",INDEX(Shippers[ID],MATCH(Sites[[#This Row],[Shipper]],Shippers[Code],0)))</f>
        <v>22</v>
      </c>
      <c r="M75" s="47">
        <v>1007</v>
      </c>
    </row>
    <row r="76" spans="2:13">
      <c r="B76" s="42">
        <f>IF(Sites[[#This Row],[Active]]=TRUE,1,0)</f>
        <v>1</v>
      </c>
      <c r="C76" s="44" t="b">
        <v>1</v>
      </c>
      <c r="D76" s="42" t="s">
        <v>178</v>
      </c>
      <c r="E76" s="45" t="s">
        <v>178</v>
      </c>
      <c r="F76" s="45" t="s">
        <v>93</v>
      </c>
      <c r="G76" s="15">
        <v>0</v>
      </c>
      <c r="H76" s="15">
        <v>0</v>
      </c>
      <c r="I76" s="15">
        <v>0</v>
      </c>
      <c r="J76" s="52"/>
      <c r="K76" s="52"/>
      <c r="L76" s="52">
        <f>IF(Sites[[#This Row],[Shipper]]="","",INDEX(Shippers[ID],MATCH(Sites[[#This Row],[Shipper]],Shippers[Code],0)))</f>
        <v>22</v>
      </c>
      <c r="M76" s="47">
        <v>1008</v>
      </c>
    </row>
    <row r="77" spans="2:13">
      <c r="B77" s="42">
        <f>IF(Sites[[#This Row],[Active]]=TRUE,1,0)</f>
        <v>1</v>
      </c>
      <c r="C77" s="44" t="b">
        <v>1</v>
      </c>
      <c r="D77" s="42" t="s">
        <v>179</v>
      </c>
      <c r="E77" s="45" t="s">
        <v>179</v>
      </c>
      <c r="F77" s="45" t="s">
        <v>93</v>
      </c>
      <c r="G77" s="15">
        <v>0</v>
      </c>
      <c r="H77" s="15">
        <v>0</v>
      </c>
      <c r="I77" s="15">
        <v>0</v>
      </c>
      <c r="J77" s="52"/>
      <c r="K77" s="52"/>
      <c r="L77" s="52">
        <f>IF(Sites[[#This Row],[Shipper]]="","",INDEX(Shippers[ID],MATCH(Sites[[#This Row],[Shipper]],Shippers[Code],0)))</f>
        <v>22</v>
      </c>
      <c r="M77" s="47">
        <v>1009</v>
      </c>
    </row>
    <row r="78" spans="2:13">
      <c r="B78" s="42">
        <f>IF(Sites[[#This Row],[Active]]=TRUE,1,0)</f>
        <v>1</v>
      </c>
      <c r="C78" s="44" t="b">
        <v>1</v>
      </c>
      <c r="D78" s="42" t="s">
        <v>180</v>
      </c>
      <c r="E78" s="45" t="s">
        <v>180</v>
      </c>
      <c r="F78" s="45" t="s">
        <v>93</v>
      </c>
      <c r="G78" s="15">
        <v>0</v>
      </c>
      <c r="H78" s="15">
        <v>0</v>
      </c>
      <c r="I78" s="15">
        <v>0</v>
      </c>
      <c r="J78" s="52"/>
      <c r="K78" s="52"/>
      <c r="L78" s="52">
        <f>IF(Sites[[#This Row],[Shipper]]="","",INDEX(Shippers[ID],MATCH(Sites[[#This Row],[Shipper]],Shippers[Code],0)))</f>
        <v>22</v>
      </c>
      <c r="M78" s="47">
        <v>1010</v>
      </c>
    </row>
    <row r="79" spans="2:13">
      <c r="B79" s="42">
        <f>IF(Sites[[#This Row],[Active]]=TRUE,1,0)</f>
        <v>1</v>
      </c>
      <c r="C79" s="44" t="b">
        <v>1</v>
      </c>
      <c r="D79" s="42" t="s">
        <v>181</v>
      </c>
      <c r="E79" s="45" t="s">
        <v>181</v>
      </c>
      <c r="F79" s="45" t="s">
        <v>93</v>
      </c>
      <c r="G79" s="15">
        <v>0</v>
      </c>
      <c r="H79" s="15">
        <v>0</v>
      </c>
      <c r="I79" s="15">
        <v>0</v>
      </c>
      <c r="J79" s="52"/>
      <c r="K79" s="52"/>
      <c r="L79" s="52">
        <f>IF(Sites[[#This Row],[Shipper]]="","",INDEX(Shippers[ID],MATCH(Sites[[#This Row],[Shipper]],Shippers[Code],0)))</f>
        <v>22</v>
      </c>
      <c r="M79" s="47">
        <v>1011</v>
      </c>
    </row>
    <row r="80" spans="2:13">
      <c r="B80" s="42">
        <f>IF(Sites[[#This Row],[Active]]=TRUE,1,0)</f>
        <v>1</v>
      </c>
      <c r="C80" s="44" t="b">
        <v>1</v>
      </c>
      <c r="D80" s="42" t="s">
        <v>182</v>
      </c>
      <c r="E80" s="45" t="s">
        <v>182</v>
      </c>
      <c r="F80" s="45" t="s">
        <v>93</v>
      </c>
      <c r="G80" s="15">
        <v>0</v>
      </c>
      <c r="H80" s="15">
        <v>0</v>
      </c>
      <c r="I80" s="15">
        <v>0</v>
      </c>
      <c r="J80" s="52"/>
      <c r="K80" s="52"/>
      <c r="L80" s="52">
        <f>IF(Sites[[#This Row],[Shipper]]="","",INDEX(Shippers[ID],MATCH(Sites[[#This Row],[Shipper]],Shippers[Code],0)))</f>
        <v>22</v>
      </c>
      <c r="M80" s="47">
        <v>1012</v>
      </c>
    </row>
    <row r="81" spans="2:13">
      <c r="B81" s="42">
        <f>IF(Sites[[#This Row],[Active]]=TRUE,1,0)</f>
        <v>1</v>
      </c>
      <c r="C81" s="44" t="b">
        <v>1</v>
      </c>
      <c r="D81" s="42" t="s">
        <v>183</v>
      </c>
      <c r="E81" s="45" t="s">
        <v>183</v>
      </c>
      <c r="F81" s="45" t="s">
        <v>93</v>
      </c>
      <c r="G81" s="15">
        <v>0</v>
      </c>
      <c r="H81" s="15">
        <v>0</v>
      </c>
      <c r="I81" s="15">
        <v>0</v>
      </c>
      <c r="J81" s="52"/>
      <c r="K81" s="52"/>
      <c r="L81" s="52">
        <f>IF(Sites[[#This Row],[Shipper]]="","",INDEX(Shippers[ID],MATCH(Sites[[#This Row],[Shipper]],Shippers[Code],0)))</f>
        <v>22</v>
      </c>
      <c r="M81" s="47">
        <v>1013</v>
      </c>
    </row>
    <row r="82" spans="2:13">
      <c r="B82" s="42">
        <f>IF(Sites[[#This Row],[Active]]=TRUE,1,0)</f>
        <v>1</v>
      </c>
      <c r="C82" s="44" t="b">
        <v>1</v>
      </c>
      <c r="D82" s="42" t="s">
        <v>104</v>
      </c>
      <c r="E82" s="45" t="s">
        <v>104</v>
      </c>
      <c r="F82" s="45" t="s">
        <v>104</v>
      </c>
      <c r="G82" s="15">
        <v>0</v>
      </c>
      <c r="H82" s="15">
        <v>0</v>
      </c>
      <c r="I82" s="15">
        <v>0</v>
      </c>
      <c r="J82" s="52"/>
      <c r="K82" s="52"/>
      <c r="L82" s="52">
        <f>IF(Sites[[#This Row],[Shipper]]="","",INDEX(Shippers[ID],MATCH(Sites[[#This Row],[Shipper]],Shippers[Code],0)))</f>
        <v>33</v>
      </c>
      <c r="M82" s="47">
        <v>1014</v>
      </c>
    </row>
    <row r="83" spans="2:13">
      <c r="B83" s="42">
        <f>IF(Sites[[#This Row],[Active]]=TRUE,1,0)</f>
        <v>1</v>
      </c>
      <c r="C83" s="44" t="b">
        <v>1</v>
      </c>
      <c r="D83" s="42" t="s">
        <v>105</v>
      </c>
      <c r="E83" s="45" t="s">
        <v>105</v>
      </c>
      <c r="F83" s="45" t="s">
        <v>105</v>
      </c>
      <c r="G83" s="15">
        <v>0</v>
      </c>
      <c r="H83" s="15">
        <v>0</v>
      </c>
      <c r="I83" s="15">
        <v>0</v>
      </c>
      <c r="J83" s="52"/>
      <c r="K83" s="52"/>
      <c r="L83" s="52">
        <f>IF(Sites[[#This Row],[Shipper]]="","",INDEX(Shippers[ID],MATCH(Sites[[#This Row],[Shipper]],Shippers[Code],0)))</f>
        <v>34</v>
      </c>
      <c r="M83" s="47">
        <v>1015</v>
      </c>
    </row>
    <row r="84" spans="2:13">
      <c r="B84" s="42">
        <f>IF(Sites[[#This Row],[Active]]=TRUE,1,0)</f>
        <v>1</v>
      </c>
      <c r="C84" s="44" t="b">
        <v>1</v>
      </c>
      <c r="D84" s="42" t="s">
        <v>106</v>
      </c>
      <c r="E84" s="45" t="s">
        <v>106</v>
      </c>
      <c r="F84" s="45" t="s">
        <v>106</v>
      </c>
      <c r="G84" s="15">
        <v>0</v>
      </c>
      <c r="H84" s="15">
        <v>0</v>
      </c>
      <c r="I84" s="15">
        <v>0</v>
      </c>
      <c r="J84" s="52"/>
      <c r="K84" s="52"/>
      <c r="L84" s="52">
        <f>IF(Sites[[#This Row],[Shipper]]="","",INDEX(Shippers[ID],MATCH(Sites[[#This Row],[Shipper]],Shippers[Code],0)))</f>
        <v>35</v>
      </c>
      <c r="M84" s="47">
        <v>1016</v>
      </c>
    </row>
    <row r="85" spans="2:13">
      <c r="B85" s="42">
        <f>IF(Sites[[#This Row],[Active]]=TRUE,1,0)</f>
        <v>1</v>
      </c>
      <c r="C85" s="44" t="b">
        <v>1</v>
      </c>
      <c r="D85" s="42" t="s">
        <v>107</v>
      </c>
      <c r="E85" s="45" t="s">
        <v>107</v>
      </c>
      <c r="F85" s="45" t="s">
        <v>107</v>
      </c>
      <c r="G85" s="15">
        <v>0</v>
      </c>
      <c r="H85" s="15">
        <v>0</v>
      </c>
      <c r="I85" s="15">
        <v>0</v>
      </c>
      <c r="J85" s="52"/>
      <c r="K85" s="52"/>
      <c r="L85" s="52">
        <f>IF(Sites[[#This Row],[Shipper]]="","",INDEX(Shippers[ID],MATCH(Sites[[#This Row],[Shipper]],Shippers[Code],0)))</f>
        <v>36</v>
      </c>
      <c r="M85" s="47">
        <v>1017</v>
      </c>
    </row>
    <row r="86" spans="2:13">
      <c r="B86" s="42">
        <f>IF(Sites[[#This Row],[Active]]=TRUE,1,0)</f>
        <v>1</v>
      </c>
      <c r="C86" s="44" t="b">
        <v>1</v>
      </c>
      <c r="D86" s="42" t="s">
        <v>99</v>
      </c>
      <c r="E86" s="45" t="s">
        <v>99</v>
      </c>
      <c r="F86" s="45" t="s">
        <v>99</v>
      </c>
      <c r="G86" s="15">
        <v>0</v>
      </c>
      <c r="H86" s="15">
        <v>0</v>
      </c>
      <c r="I86" s="15">
        <v>0</v>
      </c>
      <c r="J86" s="52"/>
      <c r="K86" s="52"/>
      <c r="L86" s="52">
        <f>IF(Sites[[#This Row],[Shipper]]="","",INDEX(Shippers[ID],MATCH(Sites[[#This Row],[Shipper]],Shippers[Code],0)))</f>
        <v>28</v>
      </c>
      <c r="M86" s="47">
        <v>1018</v>
      </c>
    </row>
    <row r="87" spans="2:13">
      <c r="B87" s="42">
        <f>IF(Sites[[#This Row],[Active]]=TRUE,1,0)</f>
        <v>1</v>
      </c>
      <c r="C87" s="44" t="b">
        <v>1</v>
      </c>
      <c r="D87" s="42" t="s">
        <v>108</v>
      </c>
      <c r="E87" s="45" t="s">
        <v>108</v>
      </c>
      <c r="F87" s="45" t="s">
        <v>108</v>
      </c>
      <c r="G87" s="15">
        <v>0</v>
      </c>
      <c r="H87" s="15">
        <v>0</v>
      </c>
      <c r="I87" s="15">
        <v>0</v>
      </c>
      <c r="J87" s="52"/>
      <c r="K87" s="52"/>
      <c r="L87" s="52">
        <f>IF(Sites[[#This Row],[Shipper]]="","",INDEX(Shippers[ID],MATCH(Sites[[#This Row],[Shipper]],Shippers[Code],0)))</f>
        <v>37</v>
      </c>
      <c r="M87" s="47">
        <v>1019</v>
      </c>
    </row>
    <row r="88" spans="2:13">
      <c r="B88" s="42">
        <f>IF(Sites[[#This Row],[Active]]=TRUE,1,0)</f>
        <v>1</v>
      </c>
      <c r="C88" s="44" t="b">
        <v>1</v>
      </c>
      <c r="D88" s="42" t="s">
        <v>184</v>
      </c>
      <c r="E88" s="45" t="s">
        <v>184</v>
      </c>
      <c r="F88" s="45" t="s">
        <v>109</v>
      </c>
      <c r="G88" s="15">
        <v>0</v>
      </c>
      <c r="H88" s="15">
        <v>0</v>
      </c>
      <c r="I88" s="15">
        <v>0</v>
      </c>
      <c r="J88" s="52"/>
      <c r="K88" s="52"/>
      <c r="L88" s="52">
        <f>IF(Sites[[#This Row],[Shipper]]="","",INDEX(Shippers[ID],MATCH(Sites[[#This Row],[Shipper]],Shippers[Code],0)))</f>
        <v>38</v>
      </c>
      <c r="M88" s="47">
        <v>1020</v>
      </c>
    </row>
    <row r="89" spans="2:13">
      <c r="B89" s="42">
        <f>IF(Sites[[#This Row],[Active]]=TRUE,1,0)</f>
        <v>1</v>
      </c>
      <c r="C89" s="44" t="b">
        <v>1</v>
      </c>
      <c r="D89" s="42" t="s">
        <v>185</v>
      </c>
      <c r="E89" s="45" t="s">
        <v>185</v>
      </c>
      <c r="F89" s="45" t="s">
        <v>109</v>
      </c>
      <c r="G89" s="15">
        <v>0</v>
      </c>
      <c r="H89" s="15">
        <v>0</v>
      </c>
      <c r="I89" s="15">
        <v>0</v>
      </c>
      <c r="J89" s="52"/>
      <c r="K89" s="52"/>
      <c r="L89" s="52">
        <f>IF(Sites[[#This Row],[Shipper]]="","",INDEX(Shippers[ID],MATCH(Sites[[#This Row],[Shipper]],Shippers[Code],0)))</f>
        <v>38</v>
      </c>
      <c r="M89" s="47">
        <v>1021</v>
      </c>
    </row>
    <row r="90" spans="2:13">
      <c r="B90" s="42">
        <f>IF(Sites[[#This Row],[Active]]=TRUE,1,0)</f>
        <v>1</v>
      </c>
      <c r="C90" s="44" t="b">
        <v>1</v>
      </c>
      <c r="D90" s="42" t="s">
        <v>186</v>
      </c>
      <c r="E90" s="45" t="s">
        <v>186</v>
      </c>
      <c r="F90" s="45" t="s">
        <v>109</v>
      </c>
      <c r="G90" s="15">
        <v>0</v>
      </c>
      <c r="H90" s="15">
        <v>0</v>
      </c>
      <c r="I90" s="15">
        <v>0</v>
      </c>
      <c r="J90" s="52"/>
      <c r="K90" s="52"/>
      <c r="L90" s="52">
        <f>IF(Sites[[#This Row],[Shipper]]="","",INDEX(Shippers[ID],MATCH(Sites[[#This Row],[Shipper]],Shippers[Code],0)))</f>
        <v>38</v>
      </c>
      <c r="M90" s="47">
        <v>1022</v>
      </c>
    </row>
    <row r="91" spans="2:13">
      <c r="B91" s="42">
        <f>IF(Sites[[#This Row],[Active]]=TRUE,1,0)</f>
        <v>1</v>
      </c>
      <c r="C91" s="44" t="b">
        <v>1</v>
      </c>
      <c r="D91" s="42" t="s">
        <v>187</v>
      </c>
      <c r="E91" s="45" t="s">
        <v>187</v>
      </c>
      <c r="F91" s="45" t="s">
        <v>109</v>
      </c>
      <c r="G91" s="15">
        <v>0</v>
      </c>
      <c r="H91" s="15">
        <v>0</v>
      </c>
      <c r="I91" s="15">
        <v>0</v>
      </c>
      <c r="J91" s="52"/>
      <c r="K91" s="52"/>
      <c r="L91" s="52">
        <f>IF(Sites[[#This Row],[Shipper]]="","",INDEX(Shippers[ID],MATCH(Sites[[#This Row],[Shipper]],Shippers[Code],0)))</f>
        <v>38</v>
      </c>
      <c r="M91" s="47">
        <v>1023</v>
      </c>
    </row>
    <row r="92" spans="2:13">
      <c r="B92" s="42">
        <f>IF(Sites[[#This Row],[Active]]=TRUE,1,0)</f>
        <v>1</v>
      </c>
      <c r="C92" s="44" t="b">
        <v>1</v>
      </c>
      <c r="D92" s="42" t="s">
        <v>110</v>
      </c>
      <c r="E92" s="45" t="s">
        <v>110</v>
      </c>
      <c r="F92" s="45" t="s">
        <v>110</v>
      </c>
      <c r="G92" s="15">
        <v>0</v>
      </c>
      <c r="H92" s="15">
        <v>0</v>
      </c>
      <c r="I92" s="15">
        <v>0</v>
      </c>
      <c r="J92" s="52"/>
      <c r="K92" s="52"/>
      <c r="L92" s="52">
        <f>IF(Sites[[#This Row],[Shipper]]="","",INDEX(Shippers[ID],MATCH(Sites[[#This Row],[Shipper]],Shippers[Code],0)))</f>
        <v>39</v>
      </c>
      <c r="M92" s="47">
        <v>1024</v>
      </c>
    </row>
    <row r="93" spans="2:13">
      <c r="B93" s="42">
        <f>IF(Sites[[#This Row],[Active]]=TRUE,1,0)</f>
        <v>1</v>
      </c>
      <c r="C93" s="44" t="b">
        <v>1</v>
      </c>
      <c r="D93" s="42" t="s">
        <v>188</v>
      </c>
      <c r="E93" s="45" t="s">
        <v>188</v>
      </c>
      <c r="F93" s="45" t="s">
        <v>111</v>
      </c>
      <c r="G93" s="15">
        <v>0</v>
      </c>
      <c r="H93" s="15">
        <v>0</v>
      </c>
      <c r="I93" s="15">
        <v>0</v>
      </c>
      <c r="J93" s="52"/>
      <c r="K93" s="52"/>
      <c r="L93" s="52">
        <f>IF(Sites[[#This Row],[Shipper]]="","",INDEX(Shippers[ID],MATCH(Sites[[#This Row],[Shipper]],Shippers[Code],0)))</f>
        <v>40</v>
      </c>
      <c r="M93" s="47">
        <v>1025</v>
      </c>
    </row>
    <row r="94" spans="2:13">
      <c r="B94" s="42">
        <f>IF(Sites[[#This Row],[Active]]=TRUE,1,0)</f>
        <v>1</v>
      </c>
      <c r="C94" s="44" t="b">
        <v>1</v>
      </c>
      <c r="D94" s="42" t="s">
        <v>189</v>
      </c>
      <c r="E94" s="45" t="s">
        <v>189</v>
      </c>
      <c r="F94" s="45" t="s">
        <v>111</v>
      </c>
      <c r="G94" s="15">
        <v>0</v>
      </c>
      <c r="H94" s="15">
        <v>0</v>
      </c>
      <c r="I94" s="15">
        <v>0</v>
      </c>
      <c r="J94" s="52"/>
      <c r="K94" s="52"/>
      <c r="L94" s="52">
        <f>IF(Sites[[#This Row],[Shipper]]="","",INDEX(Shippers[ID],MATCH(Sites[[#This Row],[Shipper]],Shippers[Code],0)))</f>
        <v>40</v>
      </c>
      <c r="M94" s="47">
        <v>1026</v>
      </c>
    </row>
    <row r="95" spans="2:13">
      <c r="B95" s="42">
        <f>IF(Sites[[#This Row],[Active]]=TRUE,1,0)</f>
        <v>1</v>
      </c>
      <c r="C95" s="44" t="b">
        <v>1</v>
      </c>
      <c r="D95" s="42" t="s">
        <v>190</v>
      </c>
      <c r="E95" s="45" t="s">
        <v>190</v>
      </c>
      <c r="F95" s="45" t="s">
        <v>97</v>
      </c>
      <c r="G95" s="15">
        <v>0</v>
      </c>
      <c r="H95" s="15">
        <v>0</v>
      </c>
      <c r="I95" s="15">
        <v>0</v>
      </c>
      <c r="J95" s="52"/>
      <c r="K95" s="52"/>
      <c r="L95" s="52">
        <f>IF(Sites[[#This Row],[Shipper]]="","",INDEX(Shippers[ID],MATCH(Sites[[#This Row],[Shipper]],Shippers[Code],0)))</f>
        <v>26</v>
      </c>
      <c r="M95" s="47">
        <v>1027</v>
      </c>
    </row>
    <row r="96" spans="2:13">
      <c r="B96" s="42">
        <f>IF(Sites[[#This Row],[Active]]=TRUE,1,0)</f>
        <v>1</v>
      </c>
      <c r="C96" s="44" t="b">
        <v>1</v>
      </c>
      <c r="D96" s="42" t="s">
        <v>191</v>
      </c>
      <c r="E96" s="45" t="s">
        <v>191</v>
      </c>
      <c r="F96" s="45" t="s">
        <v>97</v>
      </c>
      <c r="G96" s="15">
        <v>0</v>
      </c>
      <c r="H96" s="15">
        <v>0</v>
      </c>
      <c r="I96" s="15">
        <v>0</v>
      </c>
      <c r="J96" s="52"/>
      <c r="K96" s="52"/>
      <c r="L96" s="52">
        <f>IF(Sites[[#This Row],[Shipper]]="","",INDEX(Shippers[ID],MATCH(Sites[[#This Row],[Shipper]],Shippers[Code],0)))</f>
        <v>26</v>
      </c>
      <c r="M96" s="47">
        <v>1028</v>
      </c>
    </row>
    <row r="97" spans="2:13">
      <c r="B97" s="42">
        <f>IF(Sites[[#This Row],[Active]]=TRUE,1,0)</f>
        <v>1</v>
      </c>
      <c r="C97" s="44" t="b">
        <v>1</v>
      </c>
      <c r="D97" s="42" t="s">
        <v>192</v>
      </c>
      <c r="E97" s="45" t="s">
        <v>192</v>
      </c>
      <c r="F97" s="45" t="s">
        <v>97</v>
      </c>
      <c r="G97" s="15">
        <v>0</v>
      </c>
      <c r="H97" s="15">
        <v>0</v>
      </c>
      <c r="I97" s="15">
        <v>0</v>
      </c>
      <c r="J97" s="52"/>
      <c r="K97" s="52"/>
      <c r="L97" s="52">
        <f>IF(Sites[[#This Row],[Shipper]]="","",INDEX(Shippers[ID],MATCH(Sites[[#This Row],[Shipper]],Shippers[Code],0)))</f>
        <v>26</v>
      </c>
      <c r="M97" s="47">
        <v>1029</v>
      </c>
    </row>
    <row r="98" spans="2:13">
      <c r="B98" s="42">
        <f>IF(Sites[[#This Row],[Active]]=TRUE,1,0)</f>
        <v>1</v>
      </c>
      <c r="C98" s="44" t="b">
        <v>1</v>
      </c>
      <c r="D98" s="42" t="s">
        <v>112</v>
      </c>
      <c r="E98" s="45" t="s">
        <v>112</v>
      </c>
      <c r="F98" s="45" t="s">
        <v>112</v>
      </c>
      <c r="G98" s="15">
        <v>0</v>
      </c>
      <c r="H98" s="15">
        <v>0</v>
      </c>
      <c r="I98" s="15">
        <v>0</v>
      </c>
      <c r="J98" s="52"/>
      <c r="K98" s="52"/>
      <c r="L98" s="52">
        <f>IF(Sites[[#This Row],[Shipper]]="","",INDEX(Shippers[ID],MATCH(Sites[[#This Row],[Shipper]],Shippers[Code],0)))</f>
        <v>41</v>
      </c>
      <c r="M98" s="47">
        <v>1030</v>
      </c>
    </row>
    <row r="99" spans="2:13">
      <c r="B99" s="42">
        <f>IF(Sites[[#This Row],[Active]]=TRUE,1,0)</f>
        <v>1</v>
      </c>
      <c r="C99" s="44" t="b">
        <v>1</v>
      </c>
      <c r="D99" s="42" t="s">
        <v>113</v>
      </c>
      <c r="E99" s="45" t="s">
        <v>113</v>
      </c>
      <c r="F99" s="45" t="s">
        <v>113</v>
      </c>
      <c r="G99" s="15">
        <v>0</v>
      </c>
      <c r="H99" s="15">
        <v>0</v>
      </c>
      <c r="I99" s="15">
        <v>0</v>
      </c>
      <c r="J99" s="52"/>
      <c r="K99" s="52"/>
      <c r="L99" s="52">
        <f>IF(Sites[[#This Row],[Shipper]]="","",INDEX(Shippers[ID],MATCH(Sites[[#This Row],[Shipper]],Shippers[Code],0)))</f>
        <v>42</v>
      </c>
      <c r="M99" s="47">
        <v>1031</v>
      </c>
    </row>
    <row r="100" spans="2:13">
      <c r="B100" s="42">
        <f>IF(Sites[[#This Row],[Active]]=TRUE,1,0)</f>
        <v>1</v>
      </c>
      <c r="C100" s="44" t="b">
        <v>1</v>
      </c>
      <c r="D100" s="42" t="s">
        <v>193</v>
      </c>
      <c r="E100" s="45" t="s">
        <v>193</v>
      </c>
      <c r="F100" s="45" t="s">
        <v>114</v>
      </c>
      <c r="G100" s="15">
        <v>0</v>
      </c>
      <c r="H100" s="15">
        <v>0</v>
      </c>
      <c r="I100" s="15">
        <v>0</v>
      </c>
      <c r="J100" s="52"/>
      <c r="K100" s="52"/>
      <c r="L100" s="52">
        <f>IF(Sites[[#This Row],[Shipper]]="","",INDEX(Shippers[ID],MATCH(Sites[[#This Row],[Shipper]],Shippers[Code],0)))</f>
        <v>43</v>
      </c>
      <c r="M100" s="47">
        <v>1032</v>
      </c>
    </row>
    <row r="101" spans="2:13">
      <c r="B101" s="42">
        <f>IF(Sites[[#This Row],[Active]]=TRUE,1,0)</f>
        <v>1</v>
      </c>
      <c r="C101" s="44" t="b">
        <v>1</v>
      </c>
      <c r="D101" s="42" t="s">
        <v>194</v>
      </c>
      <c r="E101" s="45" t="s">
        <v>194</v>
      </c>
      <c r="F101" s="45" t="s">
        <v>114</v>
      </c>
      <c r="G101" s="15">
        <v>0</v>
      </c>
      <c r="H101" s="15">
        <v>0</v>
      </c>
      <c r="I101" s="15">
        <v>0</v>
      </c>
      <c r="J101" s="52"/>
      <c r="K101" s="52"/>
      <c r="L101" s="52">
        <f>IF(Sites[[#This Row],[Shipper]]="","",INDEX(Shippers[ID],MATCH(Sites[[#This Row],[Shipper]],Shippers[Code],0)))</f>
        <v>43</v>
      </c>
      <c r="M101" s="47">
        <v>1033</v>
      </c>
    </row>
    <row r="102" spans="2:13">
      <c r="B102" s="42">
        <f>IF(Sites[[#This Row],[Active]]=TRUE,1,0)</f>
        <v>1</v>
      </c>
      <c r="C102" s="44" t="b">
        <v>1</v>
      </c>
      <c r="D102" s="42" t="s">
        <v>195</v>
      </c>
      <c r="E102" s="45" t="s">
        <v>195</v>
      </c>
      <c r="F102" s="45" t="s">
        <v>94</v>
      </c>
      <c r="G102" s="15">
        <v>0</v>
      </c>
      <c r="H102" s="15">
        <v>0</v>
      </c>
      <c r="I102" s="15">
        <v>0</v>
      </c>
      <c r="J102" s="52"/>
      <c r="K102" s="52"/>
      <c r="L102" s="52">
        <f>IF(Sites[[#This Row],[Shipper]]="","",INDEX(Shippers[ID],MATCH(Sites[[#This Row],[Shipper]],Shippers[Code],0)))</f>
        <v>23</v>
      </c>
      <c r="M102" s="47">
        <v>1034</v>
      </c>
    </row>
    <row r="103" spans="2:13">
      <c r="B103" s="42">
        <f>IF(Sites[[#This Row],[Active]]=TRUE,1,0)</f>
        <v>1</v>
      </c>
      <c r="C103" s="44" t="b">
        <v>1</v>
      </c>
      <c r="D103" s="42" t="s">
        <v>196</v>
      </c>
      <c r="E103" s="45" t="s">
        <v>196</v>
      </c>
      <c r="F103" s="45" t="s">
        <v>94</v>
      </c>
      <c r="G103" s="15">
        <v>0</v>
      </c>
      <c r="H103" s="15">
        <v>0</v>
      </c>
      <c r="I103" s="15">
        <v>0</v>
      </c>
      <c r="J103" s="52"/>
      <c r="K103" s="52"/>
      <c r="L103" s="52">
        <f>IF(Sites[[#This Row],[Shipper]]="","",INDEX(Shippers[ID],MATCH(Sites[[#This Row],[Shipper]],Shippers[Code],0)))</f>
        <v>23</v>
      </c>
      <c r="M103" s="47">
        <v>1035</v>
      </c>
    </row>
    <row r="104" spans="2:13">
      <c r="B104" s="42">
        <f>IF(Sites[[#This Row],[Active]]=TRUE,1,0)</f>
        <v>1</v>
      </c>
      <c r="C104" s="44" t="b">
        <v>1</v>
      </c>
      <c r="D104" s="42" t="s">
        <v>197</v>
      </c>
      <c r="E104" s="45" t="s">
        <v>197</v>
      </c>
      <c r="F104" s="45" t="s">
        <v>115</v>
      </c>
      <c r="G104" s="15">
        <v>0</v>
      </c>
      <c r="H104" s="15">
        <v>0</v>
      </c>
      <c r="I104" s="15">
        <v>0</v>
      </c>
      <c r="J104" s="52"/>
      <c r="K104" s="52"/>
      <c r="L104" s="52">
        <f>IF(Sites[[#This Row],[Shipper]]="","",INDEX(Shippers[ID],MATCH(Sites[[#This Row],[Shipper]],Shippers[Code],0)))</f>
        <v>44</v>
      </c>
      <c r="M104" s="47">
        <v>1036</v>
      </c>
    </row>
    <row r="105" spans="2:13">
      <c r="B105" s="42">
        <f>IF(Sites[[#This Row],[Active]]=TRUE,1,0)</f>
        <v>1</v>
      </c>
      <c r="C105" s="44" t="b">
        <v>1</v>
      </c>
      <c r="D105" s="42" t="s">
        <v>198</v>
      </c>
      <c r="E105" s="45" t="s">
        <v>198</v>
      </c>
      <c r="F105" s="45" t="s">
        <v>100</v>
      </c>
      <c r="G105" s="15">
        <v>0</v>
      </c>
      <c r="H105" s="15">
        <v>0</v>
      </c>
      <c r="I105" s="15">
        <v>0</v>
      </c>
      <c r="J105" s="52"/>
      <c r="K105" s="52"/>
      <c r="L105" s="52">
        <f>IF(Sites[[#This Row],[Shipper]]="","",INDEX(Shippers[ID],MATCH(Sites[[#This Row],[Shipper]],Shippers[Code],0)))</f>
        <v>29</v>
      </c>
      <c r="M105" s="47">
        <v>1037</v>
      </c>
    </row>
    <row r="106" spans="2:13">
      <c r="B106" s="42">
        <f>IF(Sites[[#This Row],[Active]]=TRUE,1,0)</f>
        <v>1</v>
      </c>
      <c r="C106" s="44" t="b">
        <v>1</v>
      </c>
      <c r="D106" s="42" t="s">
        <v>199</v>
      </c>
      <c r="E106" s="45" t="s">
        <v>199</v>
      </c>
      <c r="F106" s="45" t="s">
        <v>100</v>
      </c>
      <c r="G106" s="15">
        <v>0</v>
      </c>
      <c r="H106" s="15">
        <v>0</v>
      </c>
      <c r="I106" s="15">
        <v>0</v>
      </c>
      <c r="J106" s="52"/>
      <c r="K106" s="52"/>
      <c r="L106" s="52">
        <f>IF(Sites[[#This Row],[Shipper]]="","",INDEX(Shippers[ID],MATCH(Sites[[#This Row],[Shipper]],Shippers[Code],0)))</f>
        <v>29</v>
      </c>
      <c r="M106" s="47">
        <v>1038</v>
      </c>
    </row>
    <row r="107" spans="2:13">
      <c r="B107" s="42">
        <f>IF(Sites[[#This Row],[Active]]=TRUE,1,0)</f>
        <v>1</v>
      </c>
      <c r="C107" s="44" t="b">
        <v>1</v>
      </c>
      <c r="D107" s="42" t="s">
        <v>200</v>
      </c>
      <c r="E107" s="45" t="s">
        <v>200</v>
      </c>
      <c r="F107" s="45" t="s">
        <v>101</v>
      </c>
      <c r="G107" s="15">
        <v>0</v>
      </c>
      <c r="H107" s="15">
        <v>0</v>
      </c>
      <c r="I107" s="15">
        <v>0</v>
      </c>
      <c r="J107" s="52"/>
      <c r="K107" s="52"/>
      <c r="L107" s="52">
        <f>IF(Sites[[#This Row],[Shipper]]="","",INDEX(Shippers[ID],MATCH(Sites[[#This Row],[Shipper]],Shippers[Code],0)))</f>
        <v>30</v>
      </c>
      <c r="M107" s="47">
        <v>1039</v>
      </c>
    </row>
    <row r="108" spans="2:13">
      <c r="B108" s="42">
        <f>IF(Sites[[#This Row],[Active]]=TRUE,1,0)</f>
        <v>1</v>
      </c>
      <c r="C108" s="44" t="b">
        <v>1</v>
      </c>
      <c r="D108" s="42" t="s">
        <v>201</v>
      </c>
      <c r="E108" s="45" t="s">
        <v>201</v>
      </c>
      <c r="F108" s="45" t="s">
        <v>101</v>
      </c>
      <c r="G108" s="15">
        <v>0</v>
      </c>
      <c r="H108" s="15">
        <v>0</v>
      </c>
      <c r="I108" s="15">
        <v>0</v>
      </c>
      <c r="J108" s="52"/>
      <c r="K108" s="52"/>
      <c r="L108" s="52">
        <f>IF(Sites[[#This Row],[Shipper]]="","",INDEX(Shippers[ID],MATCH(Sites[[#This Row],[Shipper]],Shippers[Code],0)))</f>
        <v>30</v>
      </c>
      <c r="M108" s="47">
        <v>1040</v>
      </c>
    </row>
    <row r="109" spans="2:13">
      <c r="B109" s="42">
        <f>IF(Sites[[#This Row],[Active]]=TRUE,1,0)</f>
        <v>1</v>
      </c>
      <c r="C109" s="44" t="b">
        <v>1</v>
      </c>
      <c r="D109" s="42" t="s">
        <v>202</v>
      </c>
      <c r="E109" s="45" t="s">
        <v>202</v>
      </c>
      <c r="F109" s="45" t="s">
        <v>101</v>
      </c>
      <c r="G109" s="15">
        <v>0</v>
      </c>
      <c r="H109" s="15">
        <v>0</v>
      </c>
      <c r="I109" s="15">
        <v>0</v>
      </c>
      <c r="J109" s="52"/>
      <c r="K109" s="52"/>
      <c r="L109" s="52">
        <f>IF(Sites[[#This Row],[Shipper]]="","",INDEX(Shippers[ID],MATCH(Sites[[#This Row],[Shipper]],Shippers[Code],0)))</f>
        <v>30</v>
      </c>
      <c r="M109" s="47">
        <v>1041</v>
      </c>
    </row>
    <row r="110" spans="2:13">
      <c r="B110" s="42">
        <f>IF(Sites[[#This Row],[Active]]=TRUE,1,0)</f>
        <v>1</v>
      </c>
      <c r="C110" s="44" t="b">
        <v>1</v>
      </c>
      <c r="D110" s="42" t="s">
        <v>203</v>
      </c>
      <c r="E110" s="45" t="s">
        <v>203</v>
      </c>
      <c r="F110" s="45" t="s">
        <v>116</v>
      </c>
      <c r="G110" s="15">
        <v>0</v>
      </c>
      <c r="H110" s="15">
        <v>0</v>
      </c>
      <c r="I110" s="15">
        <v>0</v>
      </c>
      <c r="J110" s="52"/>
      <c r="K110" s="52"/>
      <c r="L110" s="52">
        <f>IF(Sites[[#This Row],[Shipper]]="","",INDEX(Shippers[ID],MATCH(Sites[[#This Row],[Shipper]],Shippers[Code],0)))</f>
        <v>45</v>
      </c>
      <c r="M110" s="47">
        <v>1042</v>
      </c>
    </row>
    <row r="111" spans="2:13">
      <c r="B111" s="42">
        <f>IF(Sites[[#This Row],[Active]]=TRUE,1,0)</f>
        <v>1</v>
      </c>
      <c r="C111" s="44" t="b">
        <v>1</v>
      </c>
      <c r="D111" s="42" t="s">
        <v>204</v>
      </c>
      <c r="E111" s="45" t="s">
        <v>204</v>
      </c>
      <c r="F111" s="45" t="s">
        <v>116</v>
      </c>
      <c r="G111" s="15">
        <v>0</v>
      </c>
      <c r="H111" s="15">
        <v>0</v>
      </c>
      <c r="I111" s="15">
        <v>0</v>
      </c>
      <c r="J111" s="52"/>
      <c r="K111" s="52"/>
      <c r="L111" s="52">
        <f>IF(Sites[[#This Row],[Shipper]]="","",INDEX(Shippers[ID],MATCH(Sites[[#This Row],[Shipper]],Shippers[Code],0)))</f>
        <v>45</v>
      </c>
      <c r="M111" s="47">
        <v>1043</v>
      </c>
    </row>
    <row r="112" spans="2:13">
      <c r="B112" s="42">
        <f>IF(Sites[[#This Row],[Active]]=TRUE,1,0)</f>
        <v>1</v>
      </c>
      <c r="C112" s="44" t="b">
        <v>1</v>
      </c>
      <c r="D112" s="42" t="s">
        <v>205</v>
      </c>
      <c r="E112" s="45" t="s">
        <v>205</v>
      </c>
      <c r="F112" s="45" t="s">
        <v>116</v>
      </c>
      <c r="G112" s="15">
        <v>0</v>
      </c>
      <c r="H112" s="15">
        <v>0</v>
      </c>
      <c r="I112" s="15">
        <v>0</v>
      </c>
      <c r="J112" s="52"/>
      <c r="K112" s="52"/>
      <c r="L112" s="52">
        <f>IF(Sites[[#This Row],[Shipper]]="","",INDEX(Shippers[ID],MATCH(Sites[[#This Row],[Shipper]],Shippers[Code],0)))</f>
        <v>45</v>
      </c>
      <c r="M112" s="47">
        <v>1044</v>
      </c>
    </row>
    <row r="113" spans="2:13">
      <c r="B113" s="42">
        <f>IF(Sites[[#This Row],[Active]]=TRUE,1,0)</f>
        <v>1</v>
      </c>
      <c r="C113" s="44" t="b">
        <v>1</v>
      </c>
      <c r="D113" s="42" t="s">
        <v>206</v>
      </c>
      <c r="E113" s="45" t="s">
        <v>206</v>
      </c>
      <c r="F113" s="45" t="s">
        <v>116</v>
      </c>
      <c r="G113" s="15">
        <v>0</v>
      </c>
      <c r="H113" s="15">
        <v>0</v>
      </c>
      <c r="I113" s="15">
        <v>0</v>
      </c>
      <c r="J113" s="52"/>
      <c r="K113" s="52"/>
      <c r="L113" s="52">
        <f>IF(Sites[[#This Row],[Shipper]]="","",INDEX(Shippers[ID],MATCH(Sites[[#This Row],[Shipper]],Shippers[Code],0)))</f>
        <v>45</v>
      </c>
      <c r="M113" s="47">
        <v>1045</v>
      </c>
    </row>
    <row r="114" spans="2:13">
      <c r="B114" s="42">
        <f>IF(Sites[[#This Row],[Active]]=TRUE,1,0)</f>
        <v>1</v>
      </c>
      <c r="C114" s="44" t="b">
        <v>1</v>
      </c>
      <c r="D114" s="42" t="s">
        <v>207</v>
      </c>
      <c r="E114" s="45" t="s">
        <v>207</v>
      </c>
      <c r="F114" s="45" t="s">
        <v>116</v>
      </c>
      <c r="G114" s="15">
        <v>0</v>
      </c>
      <c r="H114" s="15">
        <v>0</v>
      </c>
      <c r="I114" s="15">
        <v>0</v>
      </c>
      <c r="J114" s="52"/>
      <c r="K114" s="52"/>
      <c r="L114" s="52">
        <f>IF(Sites[[#This Row],[Shipper]]="","",INDEX(Shippers[ID],MATCH(Sites[[#This Row],[Shipper]],Shippers[Code],0)))</f>
        <v>45</v>
      </c>
      <c r="M114" s="47">
        <v>1046</v>
      </c>
    </row>
    <row r="115" spans="2:13">
      <c r="B115" s="42">
        <f>IF(Sites[[#This Row],[Active]]=TRUE,1,0)</f>
        <v>1</v>
      </c>
      <c r="C115" s="44" t="b">
        <v>1</v>
      </c>
      <c r="D115" s="42" t="s">
        <v>208</v>
      </c>
      <c r="E115" s="45" t="s">
        <v>208</v>
      </c>
      <c r="F115" s="45" t="s">
        <v>116</v>
      </c>
      <c r="G115" s="15">
        <v>0</v>
      </c>
      <c r="H115" s="15">
        <v>0</v>
      </c>
      <c r="I115" s="15">
        <v>0</v>
      </c>
      <c r="J115" s="52"/>
      <c r="K115" s="52"/>
      <c r="L115" s="52">
        <f>IF(Sites[[#This Row],[Shipper]]="","",INDEX(Shippers[ID],MATCH(Sites[[#This Row],[Shipper]],Shippers[Code],0)))</f>
        <v>45</v>
      </c>
      <c r="M115" s="47">
        <v>1047</v>
      </c>
    </row>
    <row r="116" spans="2:13">
      <c r="B116" s="42">
        <f>IF(Sites[[#This Row],[Active]]=TRUE,1,0)</f>
        <v>1</v>
      </c>
      <c r="C116" s="44" t="b">
        <v>1</v>
      </c>
      <c r="D116" s="42" t="s">
        <v>117</v>
      </c>
      <c r="E116" s="45" t="s">
        <v>117</v>
      </c>
      <c r="F116" s="45" t="s">
        <v>117</v>
      </c>
      <c r="G116" s="15">
        <v>0</v>
      </c>
      <c r="H116" s="15">
        <v>0</v>
      </c>
      <c r="I116" s="15">
        <v>0</v>
      </c>
      <c r="J116" s="52"/>
      <c r="K116" s="52"/>
      <c r="L116" s="52">
        <f>IF(Sites[[#This Row],[Shipper]]="","",INDEX(Shippers[ID],MATCH(Sites[[#This Row],[Shipper]],Shippers[Code],0)))</f>
        <v>46</v>
      </c>
      <c r="M116" s="47">
        <v>1048</v>
      </c>
    </row>
    <row r="117" spans="2:13">
      <c r="B117" s="42">
        <f>IF(Sites[[#This Row],[Active]]=TRUE,1,0)</f>
        <v>1</v>
      </c>
      <c r="C117" s="44" t="b">
        <v>1</v>
      </c>
      <c r="D117" s="42" t="s">
        <v>103</v>
      </c>
      <c r="E117" s="45" t="s">
        <v>103</v>
      </c>
      <c r="F117" s="45" t="s">
        <v>103</v>
      </c>
      <c r="G117" s="15">
        <v>0</v>
      </c>
      <c r="H117" s="15">
        <v>0</v>
      </c>
      <c r="I117" s="15">
        <v>0</v>
      </c>
      <c r="J117" s="52"/>
      <c r="K117" s="52"/>
      <c r="L117" s="52">
        <f>IF(Sites[[#This Row],[Shipper]]="","",INDEX(Shippers[ID],MATCH(Sites[[#This Row],[Shipper]],Shippers[Code],0)))</f>
        <v>32</v>
      </c>
      <c r="M117" s="47">
        <v>1049</v>
      </c>
    </row>
    <row r="118" spans="2:13">
      <c r="B118" s="42">
        <f>IF(Sites[[#This Row],[Active]]=TRUE,1,0)</f>
        <v>1</v>
      </c>
      <c r="C118" s="44" t="b">
        <v>1</v>
      </c>
      <c r="D118" s="42" t="s">
        <v>209</v>
      </c>
      <c r="E118" s="45" t="s">
        <v>209</v>
      </c>
      <c r="F118" s="45" t="s">
        <v>118</v>
      </c>
      <c r="G118" s="15">
        <v>0</v>
      </c>
      <c r="H118" s="15">
        <v>0</v>
      </c>
      <c r="I118" s="15">
        <v>0</v>
      </c>
      <c r="J118" s="52"/>
      <c r="K118" s="52"/>
      <c r="L118" s="52">
        <f>IF(Sites[[#This Row],[Shipper]]="","",INDEX(Shippers[ID],MATCH(Sites[[#This Row],[Shipper]],Shippers[Code],0)))</f>
        <v>47</v>
      </c>
      <c r="M118" s="47">
        <v>1050</v>
      </c>
    </row>
    <row r="119" spans="2:13">
      <c r="B119" s="42">
        <f>IF(Sites[[#This Row],[Active]]=TRUE,1,0)</f>
        <v>1</v>
      </c>
      <c r="C119" s="44" t="b">
        <v>1</v>
      </c>
      <c r="D119" s="42" t="s">
        <v>210</v>
      </c>
      <c r="E119" s="45" t="s">
        <v>210</v>
      </c>
      <c r="F119" s="45" t="s">
        <v>118</v>
      </c>
      <c r="G119" s="15">
        <v>0</v>
      </c>
      <c r="H119" s="15">
        <v>0</v>
      </c>
      <c r="I119" s="15">
        <v>0</v>
      </c>
      <c r="J119" s="52"/>
      <c r="K119" s="52"/>
      <c r="L119" s="52">
        <f>IF(Sites[[#This Row],[Shipper]]="","",INDEX(Shippers[ID],MATCH(Sites[[#This Row],[Shipper]],Shippers[Code],0)))</f>
        <v>47</v>
      </c>
      <c r="M119" s="47">
        <v>1051</v>
      </c>
    </row>
    <row r="120" spans="2:13">
      <c r="B120" s="42">
        <f>IF(Sites[[#This Row],[Active]]=TRUE,1,0)</f>
        <v>1</v>
      </c>
      <c r="C120" s="44" t="b">
        <v>1</v>
      </c>
      <c r="D120" s="42" t="s">
        <v>211</v>
      </c>
      <c r="E120" s="45" t="s">
        <v>211</v>
      </c>
      <c r="F120" s="45" t="s">
        <v>118</v>
      </c>
      <c r="G120" s="15">
        <v>0</v>
      </c>
      <c r="H120" s="15">
        <v>0</v>
      </c>
      <c r="I120" s="15">
        <v>0</v>
      </c>
      <c r="J120" s="52"/>
      <c r="K120" s="52"/>
      <c r="L120" s="52">
        <f>IF(Sites[[#This Row],[Shipper]]="","",INDEX(Shippers[ID],MATCH(Sites[[#This Row],[Shipper]],Shippers[Code],0)))</f>
        <v>47</v>
      </c>
      <c r="M120" s="47">
        <v>1052</v>
      </c>
    </row>
    <row r="121" spans="2:13">
      <c r="B121" s="42">
        <f>IF(Sites[[#This Row],[Active]]=TRUE,1,0)</f>
        <v>1</v>
      </c>
      <c r="C121" s="44" t="b">
        <v>1</v>
      </c>
      <c r="D121" s="42" t="s">
        <v>212</v>
      </c>
      <c r="E121" s="45" t="s">
        <v>212</v>
      </c>
      <c r="F121" s="45" t="s">
        <v>119</v>
      </c>
      <c r="G121" s="15">
        <v>0</v>
      </c>
      <c r="H121" s="15">
        <v>0</v>
      </c>
      <c r="I121" s="15">
        <v>0</v>
      </c>
      <c r="J121" s="52"/>
      <c r="K121" s="52"/>
      <c r="L121" s="52">
        <f>IF(Sites[[#This Row],[Shipper]]="","",INDEX(Shippers[ID],MATCH(Sites[[#This Row],[Shipper]],Shippers[Code],0)))</f>
        <v>48</v>
      </c>
      <c r="M121" s="47">
        <v>1053</v>
      </c>
    </row>
    <row r="122" spans="2:13">
      <c r="B122" s="42">
        <f>IF(Sites[[#This Row],[Active]]=TRUE,1,0)</f>
        <v>1</v>
      </c>
      <c r="C122" s="44" t="b">
        <v>1</v>
      </c>
      <c r="D122" s="42" t="s">
        <v>213</v>
      </c>
      <c r="E122" s="45" t="s">
        <v>213</v>
      </c>
      <c r="F122" s="45" t="s">
        <v>119</v>
      </c>
      <c r="G122" s="15">
        <v>0</v>
      </c>
      <c r="H122" s="15">
        <v>0</v>
      </c>
      <c r="I122" s="15">
        <v>0</v>
      </c>
      <c r="J122" s="52"/>
      <c r="K122" s="52"/>
      <c r="L122" s="52">
        <f>IF(Sites[[#This Row],[Shipper]]="","",INDEX(Shippers[ID],MATCH(Sites[[#This Row],[Shipper]],Shippers[Code],0)))</f>
        <v>48</v>
      </c>
      <c r="M122" s="47">
        <v>1054</v>
      </c>
    </row>
  </sheetData>
  <dataConsolidate/>
  <mergeCells count="1">
    <mergeCell ref="B2:G2"/>
  </mergeCells>
  <conditionalFormatting sqref="B5:F122 J5:M122">
    <cfRule type="expression" dxfId="209" priority="1">
      <formula>$C5 = FALSE</formula>
    </cfRule>
  </conditionalFormatting>
  <conditionalFormatting sqref="C5:C122">
    <cfRule type="containsText" dxfId="208" priority="2" operator="containsText" text="TRUE">
      <formula>NOT(ISERROR(SEARCH("TRUE",C5)))</formula>
    </cfRule>
    <cfRule type="containsText" dxfId="207" priority="3" operator="containsText" text="FALSE">
      <formula>NOT(ISERROR(SEARCH("FALSE",C5)))</formula>
    </cfRule>
  </conditionalFormatting>
  <dataValidations count="2">
    <dataValidation type="list" allowBlank="1" showInputMessage="1" showErrorMessage="1" sqref="C5:C122">
      <formula1>"TRUE, FALSE"</formula1>
    </dataValidation>
    <dataValidation type="list" allowBlank="1" showInputMessage="1" showErrorMessage="1" sqref="F5:F122">
      <formula1>INDIRECT("Shippers[Code]")</formula1>
    </dataValidation>
  </dataValidations>
  <pageMargins left="0.7" right="0.7" top="0.75" bottom="0.75" header="0.3" footer="0.3"/>
  <pageSetup scale="48"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2512" id="{7E2588AD-D1DF-42A5-8975-3ABE9BC316F5}">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B5:B122</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pageSetUpPr fitToPage="1"/>
  </sheetPr>
  <dimension ref="A1:S12"/>
  <sheetViews>
    <sheetView showGridLines="0" topLeftCell="A2" zoomScaleNormal="100" workbookViewId="0">
      <pane xSplit="1" ySplit="3" topLeftCell="B5" activePane="bottomRight" state="frozen"/>
      <selection activeCell="J37" sqref="J37"/>
      <selection pane="topRight" activeCell="J37" sqref="J37"/>
      <selection pane="bottomLeft" activeCell="J37" sqref="J37"/>
      <selection pane="bottomRight" activeCell="L30" sqref="L30"/>
    </sheetView>
  </sheetViews>
  <sheetFormatPr defaultRowHeight="15"/>
  <cols>
    <col min="1" max="1" width="21.28515625" style="24" customWidth="1"/>
    <col min="2" max="2" width="6.42578125" bestFit="1" customWidth="1"/>
    <col min="3" max="3" width="11.140625" style="15" bestFit="1" customWidth="1"/>
    <col min="4" max="4" width="13.140625" bestFit="1" customWidth="1"/>
    <col min="5" max="5" width="10.85546875" bestFit="1" customWidth="1"/>
    <col min="6" max="7" width="18" customWidth="1"/>
    <col min="8" max="8" width="23.42578125" bestFit="1" customWidth="1"/>
    <col min="9" max="9" width="19.85546875" bestFit="1" customWidth="1"/>
    <col min="10" max="10" width="18.85546875" bestFit="1" customWidth="1"/>
    <col min="11" max="11" width="18.85546875" customWidth="1"/>
    <col min="12" max="12" width="15.85546875" customWidth="1"/>
    <col min="13" max="13" width="7.42578125" customWidth="1"/>
    <col min="14" max="14" width="9.140625" bestFit="1" customWidth="1"/>
    <col min="15" max="15" width="9.42578125" bestFit="1" customWidth="1"/>
    <col min="16" max="16" width="14.28515625" bestFit="1" customWidth="1"/>
    <col min="17" max="17" width="13.42578125" bestFit="1" customWidth="1"/>
    <col min="18" max="18" width="16.28515625" bestFit="1" customWidth="1"/>
    <col min="19" max="19" width="15.140625" bestFit="1" customWidth="1"/>
    <col min="20" max="20" width="15.85546875" customWidth="1"/>
    <col min="21" max="21" width="7.42578125" customWidth="1"/>
  </cols>
  <sheetData>
    <row r="1" spans="1:19" ht="74.25" hidden="1" customHeight="1">
      <c r="A1" s="16"/>
      <c r="S1">
        <v>52</v>
      </c>
    </row>
    <row r="2" spans="1:19" s="5" customFormat="1" ht="29.25" customHeight="1" thickBot="1">
      <c r="A2" s="24"/>
      <c r="B2" s="81" t="s">
        <v>348</v>
      </c>
      <c r="C2" s="81"/>
      <c r="D2" s="81"/>
      <c r="E2" s="81"/>
      <c r="F2" s="81"/>
      <c r="G2" s="81"/>
      <c r="H2" s="81"/>
      <c r="I2" s="81"/>
      <c r="J2" s="81"/>
      <c r="K2" s="26"/>
      <c r="L2" s="26"/>
    </row>
    <row r="3" spans="1:19" s="4" customFormat="1" ht="9" customHeight="1" thickTop="1">
      <c r="A3" s="24"/>
      <c r="C3" s="22"/>
    </row>
    <row r="4" spans="1:19" s="13" customFormat="1" ht="15" customHeight="1">
      <c r="A4" s="24"/>
      <c r="B4" s="20" t="s">
        <v>11</v>
      </c>
      <c r="C4" s="19" t="s">
        <v>1</v>
      </c>
      <c r="D4" s="19" t="s">
        <v>0</v>
      </c>
      <c r="E4" s="19" t="s">
        <v>3</v>
      </c>
      <c r="F4" s="19" t="s">
        <v>121</v>
      </c>
      <c r="G4" s="19" t="s">
        <v>283</v>
      </c>
      <c r="H4" s="19" t="s">
        <v>340</v>
      </c>
      <c r="I4" s="19" t="s">
        <v>341</v>
      </c>
      <c r="J4" s="19" t="s">
        <v>285</v>
      </c>
      <c r="K4" s="19" t="s">
        <v>4</v>
      </c>
      <c r="L4" s="19" t="s">
        <v>2</v>
      </c>
      <c r="M4" s="19" t="s">
        <v>18</v>
      </c>
    </row>
    <row r="5" spans="1:19">
      <c r="A5" s="25"/>
      <c r="B5" s="28">
        <f>IF(Streams[[#This Row],[Active]]=TRUE,1,0)</f>
        <v>1</v>
      </c>
      <c r="C5" s="29" t="b">
        <v>1</v>
      </c>
      <c r="D5" s="27" t="s">
        <v>342</v>
      </c>
      <c r="E5" s="32" t="s">
        <v>343</v>
      </c>
      <c r="F5" s="48" t="s">
        <v>93</v>
      </c>
      <c r="G5" s="41" t="s">
        <v>151</v>
      </c>
      <c r="H5" s="48" t="s">
        <v>30</v>
      </c>
      <c r="I5" s="41" t="s">
        <v>146</v>
      </c>
      <c r="J5" s="41" t="s">
        <v>329</v>
      </c>
      <c r="K5" s="41"/>
      <c r="L5" s="37"/>
      <c r="M5" s="38"/>
    </row>
    <row r="6" spans="1:19">
      <c r="B6" s="42">
        <f>IF(Streams[[#This Row],[Active]]=TRUE,1,0)</f>
        <v>1</v>
      </c>
      <c r="C6" s="44" t="b">
        <v>1</v>
      </c>
      <c r="D6" s="42" t="s">
        <v>344</v>
      </c>
      <c r="E6" s="45" t="s">
        <v>345</v>
      </c>
      <c r="F6" s="49" t="s">
        <v>93</v>
      </c>
      <c r="G6" s="43" t="s">
        <v>151</v>
      </c>
      <c r="H6" s="49" t="s">
        <v>30</v>
      </c>
      <c r="I6" s="43" t="s">
        <v>146</v>
      </c>
      <c r="J6" s="41" t="s">
        <v>329</v>
      </c>
      <c r="K6" s="41"/>
      <c r="L6" s="47"/>
      <c r="M6" s="47"/>
    </row>
    <row r="7" spans="1:19">
      <c r="B7" s="42">
        <f>IF(Streams[[#This Row],[Active]]=TRUE,1,0)</f>
        <v>1</v>
      </c>
      <c r="C7" s="44" t="b">
        <v>1</v>
      </c>
      <c r="D7" s="42" t="s">
        <v>346</v>
      </c>
      <c r="E7" s="45" t="s">
        <v>347</v>
      </c>
      <c r="F7" s="49" t="s">
        <v>93</v>
      </c>
      <c r="G7" s="43" t="s">
        <v>151</v>
      </c>
      <c r="H7" s="49" t="s">
        <v>30</v>
      </c>
      <c r="I7" s="43" t="s">
        <v>146</v>
      </c>
      <c r="J7" s="41" t="s">
        <v>329</v>
      </c>
      <c r="K7" s="41"/>
      <c r="L7" s="47"/>
      <c r="M7" s="47"/>
    </row>
    <row r="8" spans="1:19">
      <c r="B8" s="42">
        <f>IF(Streams[[#This Row],[Active]]=TRUE,1,0)</f>
        <v>1</v>
      </c>
      <c r="C8" s="44" t="b">
        <v>1</v>
      </c>
      <c r="D8" s="42" t="s">
        <v>342</v>
      </c>
      <c r="E8" s="45" t="s">
        <v>343</v>
      </c>
      <c r="F8" s="49" t="s">
        <v>119</v>
      </c>
      <c r="G8" s="43" t="s">
        <v>212</v>
      </c>
      <c r="H8" s="49" t="s">
        <v>30</v>
      </c>
      <c r="I8" s="43" t="s">
        <v>145</v>
      </c>
      <c r="J8" s="41" t="s">
        <v>329</v>
      </c>
      <c r="K8" s="41"/>
      <c r="L8" s="47"/>
      <c r="M8" s="47"/>
    </row>
    <row r="9" spans="1:19">
      <c r="B9" s="42">
        <f>IF(Streams[[#This Row],[Active]]=TRUE,1,0)</f>
        <v>1</v>
      </c>
      <c r="C9" s="44" t="b">
        <v>1</v>
      </c>
      <c r="D9" s="42" t="s">
        <v>344</v>
      </c>
      <c r="E9" s="45" t="s">
        <v>345</v>
      </c>
      <c r="F9" s="49" t="s">
        <v>119</v>
      </c>
      <c r="G9" s="43" t="s">
        <v>212</v>
      </c>
      <c r="H9" s="49" t="s">
        <v>30</v>
      </c>
      <c r="I9" s="43" t="s">
        <v>145</v>
      </c>
      <c r="J9" s="41" t="s">
        <v>329</v>
      </c>
      <c r="K9" s="41"/>
      <c r="L9" s="47"/>
      <c r="M9" s="47"/>
    </row>
    <row r="10" spans="1:19">
      <c r="B10" s="42">
        <f>IF(Streams[[#This Row],[Active]]=TRUE,1,0)</f>
        <v>1</v>
      </c>
      <c r="C10" s="44" t="b">
        <v>1</v>
      </c>
      <c r="D10" s="42" t="s">
        <v>346</v>
      </c>
      <c r="E10" s="45" t="s">
        <v>347</v>
      </c>
      <c r="F10" s="49" t="s">
        <v>119</v>
      </c>
      <c r="G10" s="43" t="s">
        <v>212</v>
      </c>
      <c r="H10" s="49" t="s">
        <v>30</v>
      </c>
      <c r="I10" s="43" t="s">
        <v>146</v>
      </c>
      <c r="J10" s="41" t="s">
        <v>329</v>
      </c>
      <c r="K10" s="41"/>
      <c r="L10" s="47"/>
      <c r="M10" s="47"/>
    </row>
    <row r="11" spans="1:19">
      <c r="B11" s="42">
        <f>IF(Streams[[#This Row],[Active]]=TRUE,1,0)</f>
        <v>1</v>
      </c>
      <c r="C11" s="44" t="b">
        <v>1</v>
      </c>
      <c r="D11" s="42" t="s">
        <v>342</v>
      </c>
      <c r="E11" s="45" t="s">
        <v>343</v>
      </c>
      <c r="F11" s="49" t="s">
        <v>119</v>
      </c>
      <c r="G11" s="43" t="s">
        <v>213</v>
      </c>
      <c r="H11" s="49" t="s">
        <v>30</v>
      </c>
      <c r="I11" s="43" t="s">
        <v>146</v>
      </c>
      <c r="J11" s="41" t="s">
        <v>329</v>
      </c>
      <c r="K11" s="41"/>
      <c r="L11" s="47"/>
      <c r="M11" s="47"/>
    </row>
    <row r="12" spans="1:19">
      <c r="B12" s="42">
        <f>IF(Streams[[#This Row],[Active]]=TRUE,1,0)</f>
        <v>1</v>
      </c>
      <c r="C12" s="44" t="b">
        <v>1</v>
      </c>
      <c r="D12" s="42" t="s">
        <v>344</v>
      </c>
      <c r="E12" s="45" t="s">
        <v>345</v>
      </c>
      <c r="F12" s="49" t="s">
        <v>119</v>
      </c>
      <c r="G12" s="43" t="s">
        <v>213</v>
      </c>
      <c r="H12" s="49" t="s">
        <v>30</v>
      </c>
      <c r="I12" s="43" t="s">
        <v>146</v>
      </c>
      <c r="J12" s="41" t="s">
        <v>329</v>
      </c>
      <c r="K12" s="41"/>
      <c r="L12" s="47"/>
      <c r="M12" s="47"/>
    </row>
  </sheetData>
  <dataConsolidate/>
  <mergeCells count="1">
    <mergeCell ref="B2:J2"/>
  </mergeCells>
  <conditionalFormatting sqref="B5:M12">
    <cfRule type="expression" dxfId="190" priority="116">
      <formula>$C5 = FALSE</formula>
    </cfRule>
  </conditionalFormatting>
  <conditionalFormatting sqref="C5:C12 H5:H12 F5:F12">
    <cfRule type="containsText" dxfId="189" priority="117" operator="containsText" text="TRUE">
      <formula>NOT(ISERROR(SEARCH("TRUE",C5)))</formula>
    </cfRule>
    <cfRule type="containsText" dxfId="188" priority="118" operator="containsText" text="FALSE">
      <formula>NOT(ISERROR(SEARCH("FALSE",C5)))</formula>
    </cfRule>
  </conditionalFormatting>
  <dataValidations count="5">
    <dataValidation type="list" allowBlank="1" showInputMessage="1" showErrorMessage="1" sqref="C5:C12">
      <formula1>"TRUE, FALSE"</formula1>
    </dataValidation>
    <dataValidation type="list" allowBlank="1" showInputMessage="1" showErrorMessage="1" sqref="K5:K12">
      <formula1>INDIRECT("FacilityType[Code]")</formula1>
    </dataValidation>
    <dataValidation type="list" allowBlank="1" showInputMessage="1" showErrorMessage="1" sqref="I5:I12 G5:G12">
      <formula1>INDIRECT("Sites[Code]")</formula1>
    </dataValidation>
    <dataValidation type="list" allowBlank="1" showInputMessage="1" showErrorMessage="1" sqref="F5:F12 H5:H12">
      <formula1>INDIRECT("Shippers[Code]")</formula1>
    </dataValidation>
    <dataValidation type="list" allowBlank="1" showInputMessage="1" showErrorMessage="1" sqref="J5:J12">
      <formula1>INDIRECT("TransportMethods[Code]")</formula1>
    </dataValidation>
  </dataValidations>
  <pageMargins left="0.7" right="0.7" top="0.75" bottom="0.75" header="0.3" footer="0.3"/>
  <pageSetup scale="50"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2514" id="{65A30EAC-4724-43F4-A9A7-C3D06C71538D}">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B5:B12</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A1:W9"/>
  <sheetViews>
    <sheetView showGridLines="0" topLeftCell="A2" zoomScaleNormal="100" workbookViewId="0">
      <pane xSplit="1" ySplit="3" topLeftCell="B5" activePane="bottomRight" state="frozen"/>
      <selection activeCell="J37" sqref="J37"/>
      <selection pane="topRight" activeCell="J37" sqref="J37"/>
      <selection pane="bottomLeft" activeCell="J37" sqref="J37"/>
      <selection pane="bottomRight" activeCell="F36" sqref="F36"/>
    </sheetView>
  </sheetViews>
  <sheetFormatPr defaultRowHeight="15"/>
  <cols>
    <col min="1" max="1" width="21.28515625" style="24" customWidth="1"/>
    <col min="2" max="2" width="6.42578125" bestFit="1" customWidth="1"/>
    <col min="3" max="3" width="11.140625" style="15" bestFit="1" customWidth="1"/>
    <col min="4" max="4" width="10.140625" bestFit="1" customWidth="1"/>
    <col min="5" max="5" width="27.140625" bestFit="1" customWidth="1"/>
    <col min="6" max="6" width="34.42578125" style="1" customWidth="1"/>
    <col min="7" max="7" width="12.5703125" bestFit="1" customWidth="1"/>
    <col min="8" max="8" width="18.85546875" bestFit="1" customWidth="1"/>
    <col min="9" max="9" width="15" customWidth="1"/>
    <col min="10" max="10" width="22.7109375" bestFit="1" customWidth="1"/>
    <col min="11" max="15" width="22.7109375" customWidth="1"/>
    <col min="16" max="16" width="10.7109375" bestFit="1" customWidth="1"/>
    <col min="17" max="17" width="15.85546875" bestFit="1" customWidth="1"/>
    <col min="18" max="18" width="9.140625" bestFit="1" customWidth="1"/>
    <col min="19" max="19" width="9.42578125" bestFit="1" customWidth="1"/>
    <col min="20" max="20" width="14.28515625" bestFit="1" customWidth="1"/>
    <col min="21" max="21" width="13.42578125" bestFit="1" customWidth="1"/>
    <col min="22" max="22" width="16.28515625" bestFit="1" customWidth="1"/>
    <col min="23" max="23" width="15.140625" bestFit="1" customWidth="1"/>
    <col min="24" max="24" width="15.85546875" customWidth="1"/>
    <col min="25" max="25" width="7.42578125" customWidth="1"/>
  </cols>
  <sheetData>
    <row r="1" spans="1:23" ht="74.25" hidden="1" customHeight="1">
      <c r="A1" s="16"/>
      <c r="W1">
        <v>52</v>
      </c>
    </row>
    <row r="2" spans="1:23" s="5" customFormat="1" ht="29.25" customHeight="1" thickBot="1">
      <c r="A2" s="24"/>
      <c r="B2" s="81" t="s">
        <v>215</v>
      </c>
      <c r="C2" s="81"/>
      <c r="D2" s="81"/>
      <c r="E2" s="81"/>
      <c r="F2" s="81"/>
      <c r="G2" s="81"/>
      <c r="H2" s="81"/>
      <c r="I2" s="81"/>
      <c r="J2" s="81"/>
      <c r="K2" s="81"/>
      <c r="L2" s="81"/>
      <c r="M2" s="81"/>
      <c r="N2" s="81"/>
      <c r="O2" s="81"/>
      <c r="P2" s="81"/>
    </row>
    <row r="3" spans="1:23" s="4" customFormat="1" ht="9" customHeight="1" thickTop="1">
      <c r="A3" s="24"/>
      <c r="C3" s="22"/>
      <c r="F3" s="40"/>
    </row>
    <row r="4" spans="1:23" s="13" customFormat="1" ht="15" customHeight="1">
      <c r="A4" s="24"/>
      <c r="B4" s="20" t="s">
        <v>11</v>
      </c>
      <c r="C4" s="17" t="s">
        <v>1</v>
      </c>
      <c r="D4" s="17" t="s">
        <v>0</v>
      </c>
      <c r="E4" s="17" t="s">
        <v>216</v>
      </c>
      <c r="F4" s="17" t="s">
        <v>217</v>
      </c>
      <c r="G4" s="17" t="s">
        <v>228</v>
      </c>
      <c r="H4" s="17" t="s">
        <v>218</v>
      </c>
      <c r="I4" s="17" t="s">
        <v>22</v>
      </c>
      <c r="J4" s="17" t="s">
        <v>219</v>
      </c>
      <c r="K4" s="17" t="s">
        <v>220</v>
      </c>
      <c r="L4" s="17" t="s">
        <v>221</v>
      </c>
      <c r="M4" s="17" t="s">
        <v>222</v>
      </c>
      <c r="N4" s="17" t="s">
        <v>223</v>
      </c>
      <c r="O4" s="17" t="s">
        <v>224</v>
      </c>
      <c r="P4" s="17" t="s">
        <v>225</v>
      </c>
      <c r="Q4" s="17" t="s">
        <v>26</v>
      </c>
      <c r="R4" s="17" t="s">
        <v>2</v>
      </c>
      <c r="S4" s="17" t="s">
        <v>18</v>
      </c>
    </row>
    <row r="5" spans="1:23">
      <c r="A5" s="25"/>
      <c r="B5" s="34">
        <f>IF(ProductCosts[[#This Row],[Active]]=TRUE,1,0)</f>
        <v>0</v>
      </c>
      <c r="C5" s="35" t="b">
        <v>0</v>
      </c>
      <c r="D5" s="36" t="s">
        <v>226</v>
      </c>
      <c r="E5" s="15"/>
      <c r="F5" s="15" t="s">
        <v>227</v>
      </c>
      <c r="G5" s="15"/>
      <c r="H5" s="15">
        <v>45.76</v>
      </c>
      <c r="I5" s="15" t="s">
        <v>31</v>
      </c>
      <c r="J5" s="15" t="s">
        <v>229</v>
      </c>
      <c r="K5" s="15">
        <v>796</v>
      </c>
      <c r="L5" s="15">
        <v>876</v>
      </c>
      <c r="M5" s="15">
        <v>0</v>
      </c>
      <c r="N5" s="15">
        <v>0.5</v>
      </c>
      <c r="O5" s="15"/>
      <c r="P5" s="15"/>
      <c r="Q5" s="15">
        <v>1</v>
      </c>
      <c r="R5">
        <v>1</v>
      </c>
      <c r="S5" s="38">
        <v>1</v>
      </c>
    </row>
    <row r="6" spans="1:23">
      <c r="B6" s="42">
        <f>IF(ProductCosts[[#This Row],[Active]]=TRUE,1,0)</f>
        <v>1</v>
      </c>
      <c r="C6" s="44" t="b">
        <v>1</v>
      </c>
      <c r="D6" s="43" t="s">
        <v>230</v>
      </c>
      <c r="E6" s="15" t="s">
        <v>236</v>
      </c>
      <c r="F6" s="15" t="s">
        <v>231</v>
      </c>
      <c r="G6" s="15" t="s">
        <v>237</v>
      </c>
      <c r="H6" s="15">
        <v>-3.72</v>
      </c>
      <c r="I6" s="15" t="s">
        <v>31</v>
      </c>
      <c r="J6" s="15" t="s">
        <v>229</v>
      </c>
      <c r="K6" s="15">
        <v>796</v>
      </c>
      <c r="L6" s="15">
        <v>876</v>
      </c>
      <c r="M6" s="15">
        <v>0.5</v>
      </c>
      <c r="N6" s="15">
        <v>5</v>
      </c>
      <c r="O6" s="15"/>
      <c r="P6" s="15"/>
      <c r="Q6" s="15">
        <v>4</v>
      </c>
      <c r="R6">
        <v>1</v>
      </c>
      <c r="S6" s="47">
        <v>2</v>
      </c>
    </row>
    <row r="7" spans="1:23">
      <c r="B7" s="42">
        <f>IF(ProductCosts[[#This Row],[Active]]=TRUE,1,0)</f>
        <v>1</v>
      </c>
      <c r="C7" s="44" t="b">
        <v>1</v>
      </c>
      <c r="D7" s="43" t="s">
        <v>232</v>
      </c>
      <c r="E7" s="15" t="s">
        <v>236</v>
      </c>
      <c r="F7" s="15" t="s">
        <v>231</v>
      </c>
      <c r="G7" s="15" t="s">
        <v>237</v>
      </c>
      <c r="H7" s="15">
        <v>-5.87</v>
      </c>
      <c r="I7" s="15" t="s">
        <v>31</v>
      </c>
      <c r="J7" s="15" t="s">
        <v>229</v>
      </c>
      <c r="K7" s="15">
        <v>876</v>
      </c>
      <c r="L7" s="15">
        <v>904</v>
      </c>
      <c r="M7" s="15">
        <v>0.5</v>
      </c>
      <c r="N7" s="15">
        <v>5</v>
      </c>
      <c r="O7" s="15"/>
      <c r="P7" s="15"/>
      <c r="Q7" s="15">
        <v>5</v>
      </c>
      <c r="R7">
        <v>1</v>
      </c>
      <c r="S7" s="47">
        <v>3</v>
      </c>
    </row>
    <row r="8" spans="1:23">
      <c r="B8" s="42">
        <f>IF(ProductCosts[[#This Row],[Active]]=TRUE,1,0)</f>
        <v>1</v>
      </c>
      <c r="C8" s="44" t="b">
        <v>1</v>
      </c>
      <c r="D8" s="43" t="s">
        <v>233</v>
      </c>
      <c r="E8" s="15" t="s">
        <v>236</v>
      </c>
      <c r="F8" s="15" t="s">
        <v>234</v>
      </c>
      <c r="G8" s="15" t="s">
        <v>237</v>
      </c>
      <c r="H8" s="15">
        <v>0.55024300000000004</v>
      </c>
      <c r="I8" s="15"/>
      <c r="J8" s="15" t="s">
        <v>229</v>
      </c>
      <c r="K8" s="15">
        <v>500</v>
      </c>
      <c r="L8" s="15">
        <v>630</v>
      </c>
      <c r="M8" s="15">
        <v>0</v>
      </c>
      <c r="N8" s="15">
        <v>0</v>
      </c>
      <c r="O8" s="15"/>
      <c r="P8" s="15"/>
      <c r="Q8" s="15">
        <v>2</v>
      </c>
      <c r="R8">
        <v>1</v>
      </c>
      <c r="S8" s="47">
        <v>4</v>
      </c>
    </row>
    <row r="9" spans="1:23">
      <c r="B9" s="42">
        <f>IF(ProductCosts[[#This Row],[Active]]=TRUE,1,0)</f>
        <v>1</v>
      </c>
      <c r="C9" s="44" t="b">
        <v>1</v>
      </c>
      <c r="D9" s="43" t="s">
        <v>235</v>
      </c>
      <c r="E9" s="15" t="s">
        <v>236</v>
      </c>
      <c r="F9" s="15" t="s">
        <v>231</v>
      </c>
      <c r="G9" s="15" t="s">
        <v>237</v>
      </c>
      <c r="H9" s="15">
        <v>-3.5</v>
      </c>
      <c r="I9" s="15" t="s">
        <v>31</v>
      </c>
      <c r="J9" s="15" t="s">
        <v>229</v>
      </c>
      <c r="K9" s="15">
        <v>630</v>
      </c>
      <c r="L9" s="15">
        <v>796</v>
      </c>
      <c r="M9" s="15">
        <v>0</v>
      </c>
      <c r="N9" s="15">
        <v>0.2</v>
      </c>
      <c r="O9" s="15"/>
      <c r="P9" s="15"/>
      <c r="Q9" s="15">
        <v>3</v>
      </c>
      <c r="R9">
        <v>1</v>
      </c>
      <c r="S9" s="47">
        <v>35</v>
      </c>
    </row>
  </sheetData>
  <dataConsolidate/>
  <mergeCells count="1">
    <mergeCell ref="B2:P2"/>
  </mergeCells>
  <conditionalFormatting sqref="B5:D9 S5:S9">
    <cfRule type="expression" dxfId="171" priority="1">
      <formula>$C5 = FALSE</formula>
    </cfRule>
  </conditionalFormatting>
  <conditionalFormatting sqref="C5:C9">
    <cfRule type="containsText" dxfId="170" priority="2" operator="containsText" text="TRUE">
      <formula>NOT(ISERROR(SEARCH("TRUE",C5)))</formula>
    </cfRule>
    <cfRule type="containsText" dxfId="169" priority="3" operator="containsText" text="FALSE">
      <formula>NOT(ISERROR(SEARCH("FALSE",C5)))</formula>
    </cfRule>
  </conditionalFormatting>
  <dataValidations count="1">
    <dataValidation type="list" allowBlank="1" showInputMessage="1" showErrorMessage="1" sqref="C5:C9">
      <formula1>"TRUE, FALSE"</formula1>
    </dataValidation>
  </dataValidations>
  <pageMargins left="0.7" right="0.7" top="0.75" bottom="0.75" header="0.3" footer="0.3"/>
  <pageSetup scale="28"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2517" id="{C068AC3A-FB48-4CDA-A445-70CFA25174BF}">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B5:B9</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pageSetUpPr fitToPage="1"/>
  </sheetPr>
  <dimension ref="A1:AA30"/>
  <sheetViews>
    <sheetView showGridLines="0" topLeftCell="A2" zoomScaleNormal="100" workbookViewId="0">
      <pane xSplit="1" ySplit="3" topLeftCell="B5" activePane="bottomRight" state="frozen"/>
      <selection activeCell="J37" sqref="J37"/>
      <selection pane="topRight" activeCell="J37" sqref="J37"/>
      <selection pane="bottomLeft" activeCell="J37" sqref="J37"/>
      <selection pane="bottomRight" activeCell="I32" sqref="I32"/>
    </sheetView>
  </sheetViews>
  <sheetFormatPr defaultRowHeight="15"/>
  <cols>
    <col min="1" max="1" width="21.28515625" style="24" customWidth="1"/>
    <col min="2" max="2" width="6.42578125" customWidth="1"/>
    <col min="3" max="3" width="11.140625" style="15" customWidth="1"/>
    <col min="4" max="4" width="19" customWidth="1"/>
    <col min="5" max="5" width="19.140625" bestFit="1" customWidth="1"/>
    <col min="6" max="6" width="20" customWidth="1"/>
    <col min="7" max="7" width="14.7109375" bestFit="1" customWidth="1"/>
    <col min="8" max="8" width="15.7109375" bestFit="1" customWidth="1"/>
    <col min="9" max="9" width="21.85546875" bestFit="1" customWidth="1"/>
    <col min="10" max="10" width="22.5703125" bestFit="1" customWidth="1"/>
    <col min="11" max="11" width="14.85546875" bestFit="1" customWidth="1"/>
    <col min="12" max="12" width="14.28515625" bestFit="1" customWidth="1"/>
    <col min="13" max="13" width="14.28515625" customWidth="1"/>
    <col min="14" max="14" width="13.42578125" customWidth="1"/>
    <col min="15" max="15" width="16.28515625" customWidth="1"/>
    <col min="16" max="16" width="15.140625" customWidth="1"/>
    <col min="17" max="17" width="9" bestFit="1" customWidth="1"/>
    <col min="18" max="18" width="9.140625" bestFit="1" customWidth="1"/>
    <col min="19" max="19" width="13.7109375" bestFit="1" customWidth="1"/>
    <col min="20" max="20" width="22.28515625" bestFit="1" customWidth="1"/>
    <col min="21" max="21" width="18.140625" bestFit="1" customWidth="1"/>
    <col min="22" max="22" width="12.140625" bestFit="1" customWidth="1"/>
    <col min="23" max="23" width="26.140625" bestFit="1" customWidth="1"/>
    <col min="24" max="24" width="20.140625" bestFit="1" customWidth="1"/>
    <col min="25" max="25" width="20.140625" customWidth="1"/>
    <col min="26" max="26" width="15.85546875" customWidth="1"/>
    <col min="27" max="27" width="7.42578125" customWidth="1"/>
  </cols>
  <sheetData>
    <row r="1" spans="1:27" ht="74.25" hidden="1" customHeight="1">
      <c r="A1" s="16"/>
      <c r="P1">
        <v>52</v>
      </c>
    </row>
    <row r="2" spans="1:27" s="5" customFormat="1" ht="29.25" customHeight="1" thickBot="1">
      <c r="A2" s="24"/>
      <c r="B2" s="81" t="s">
        <v>281</v>
      </c>
      <c r="C2" s="81"/>
      <c r="D2" s="81"/>
      <c r="E2" s="81"/>
      <c r="F2" s="81"/>
      <c r="G2" s="81"/>
      <c r="H2" s="26"/>
    </row>
    <row r="3" spans="1:27" s="4" customFormat="1" ht="9" customHeight="1" thickTop="1">
      <c r="A3" s="24"/>
      <c r="C3" s="22"/>
    </row>
    <row r="4" spans="1:27" s="13" customFormat="1" ht="15" customHeight="1">
      <c r="A4" s="24"/>
      <c r="B4" s="20" t="s">
        <v>11</v>
      </c>
      <c r="C4" s="19" t="s">
        <v>1</v>
      </c>
      <c r="D4" s="19" t="s">
        <v>0</v>
      </c>
      <c r="E4" s="19" t="s">
        <v>282</v>
      </c>
      <c r="F4" s="19" t="s">
        <v>121</v>
      </c>
      <c r="G4" s="19" t="s">
        <v>283</v>
      </c>
      <c r="H4" s="19" t="s">
        <v>284</v>
      </c>
      <c r="I4" s="19" t="s">
        <v>285</v>
      </c>
      <c r="J4" s="19" t="s">
        <v>286</v>
      </c>
      <c r="K4" s="19" t="s">
        <v>287</v>
      </c>
      <c r="L4" s="19" t="s">
        <v>288</v>
      </c>
      <c r="M4" s="19" t="s">
        <v>289</v>
      </c>
      <c r="N4" s="19" t="s">
        <v>290</v>
      </c>
      <c r="O4" s="19" t="s">
        <v>291</v>
      </c>
      <c r="P4" s="19" t="s">
        <v>292</v>
      </c>
      <c r="Q4" s="19" t="s">
        <v>293</v>
      </c>
      <c r="R4" s="19" t="s">
        <v>294</v>
      </c>
      <c r="S4" s="19" t="s">
        <v>295</v>
      </c>
      <c r="T4" s="19" t="s">
        <v>296</v>
      </c>
      <c r="U4" s="19" t="s">
        <v>297</v>
      </c>
      <c r="V4" s="19" t="s">
        <v>298</v>
      </c>
      <c r="W4" s="19" t="s">
        <v>299</v>
      </c>
      <c r="X4" s="19" t="s">
        <v>300</v>
      </c>
      <c r="Y4" s="19" t="s">
        <v>21</v>
      </c>
      <c r="Z4" s="19" t="s">
        <v>2</v>
      </c>
      <c r="AA4" s="19" t="s">
        <v>18</v>
      </c>
    </row>
    <row r="5" spans="1:27">
      <c r="A5" s="25"/>
      <c r="B5" s="28">
        <f>IF(Nominations[[#This Row],[Active]]=TRUE,1,0)</f>
        <v>1</v>
      </c>
      <c r="C5" s="48" t="b">
        <v>1</v>
      </c>
      <c r="D5" s="41" t="s">
        <v>301</v>
      </c>
      <c r="E5" s="41">
        <v>1</v>
      </c>
      <c r="F5" s="53" t="s">
        <v>72</v>
      </c>
      <c r="G5" s="41" t="s">
        <v>72</v>
      </c>
      <c r="H5" s="41" t="s">
        <v>327</v>
      </c>
      <c r="I5" s="48" t="s">
        <v>328</v>
      </c>
      <c r="J5" s="48" t="b">
        <v>1</v>
      </c>
      <c r="K5" s="41">
        <v>648.29999999999995</v>
      </c>
      <c r="L5" s="41">
        <v>35</v>
      </c>
      <c r="M5" s="41">
        <v>750</v>
      </c>
      <c r="N5" s="41">
        <v>841.92105263157885</v>
      </c>
      <c r="O5" s="48">
        <v>1.194</v>
      </c>
      <c r="P5" s="48"/>
      <c r="Q5" s="48">
        <v>77.3</v>
      </c>
      <c r="R5" s="48"/>
      <c r="S5" s="48"/>
      <c r="T5" s="48"/>
      <c r="U5" s="48"/>
      <c r="V5" s="48"/>
      <c r="W5" s="48"/>
      <c r="X5" s="48">
        <v>0</v>
      </c>
      <c r="Y5" s="48">
        <v>0</v>
      </c>
      <c r="Z5" s="37">
        <v>1</v>
      </c>
      <c r="AA5" s="38">
        <v>164</v>
      </c>
    </row>
    <row r="6" spans="1:27">
      <c r="B6" s="42">
        <f>IF(Nominations[[#This Row],[Active]]=TRUE,1,0)</f>
        <v>1</v>
      </c>
      <c r="C6" s="54" t="b">
        <v>1</v>
      </c>
      <c r="D6" s="43" t="s">
        <v>302</v>
      </c>
      <c r="E6" s="43">
        <v>2</v>
      </c>
      <c r="F6" s="55" t="s">
        <v>74</v>
      </c>
      <c r="G6" s="43" t="s">
        <v>126</v>
      </c>
      <c r="H6" s="43" t="s">
        <v>251</v>
      </c>
      <c r="I6" s="56" t="s">
        <v>328</v>
      </c>
      <c r="J6" s="56" t="b">
        <v>1</v>
      </c>
      <c r="K6" s="57">
        <v>864.9000000000002</v>
      </c>
      <c r="L6" s="57">
        <v>35</v>
      </c>
      <c r="M6" s="57">
        <v>1000</v>
      </c>
      <c r="N6" s="57">
        <v>888.78117003617251</v>
      </c>
      <c r="O6" s="49">
        <v>1.9730000000000001</v>
      </c>
      <c r="P6" s="49"/>
      <c r="Q6" s="49">
        <v>46</v>
      </c>
      <c r="R6" s="49"/>
      <c r="S6" s="49"/>
      <c r="T6" s="49"/>
      <c r="U6" s="49"/>
      <c r="V6" s="49"/>
      <c r="W6" s="49"/>
      <c r="X6" s="49">
        <v>0</v>
      </c>
      <c r="Y6" s="49">
        <v>0</v>
      </c>
      <c r="Z6" s="47">
        <v>1</v>
      </c>
      <c r="AA6" s="47">
        <v>165</v>
      </c>
    </row>
    <row r="7" spans="1:27">
      <c r="B7" s="42">
        <f>IF(Nominations[[#This Row],[Active]]=TRUE,1,0)</f>
        <v>1</v>
      </c>
      <c r="C7" s="54" t="b">
        <v>1</v>
      </c>
      <c r="D7" s="43" t="s">
        <v>303</v>
      </c>
      <c r="E7" s="43">
        <v>3</v>
      </c>
      <c r="F7" s="55" t="s">
        <v>74</v>
      </c>
      <c r="G7" s="43" t="s">
        <v>127</v>
      </c>
      <c r="H7" s="43" t="s">
        <v>327</v>
      </c>
      <c r="I7" s="56" t="s">
        <v>328</v>
      </c>
      <c r="J7" s="56" t="b">
        <v>1</v>
      </c>
      <c r="K7" s="57">
        <v>212.7</v>
      </c>
      <c r="L7" s="57">
        <v>35</v>
      </c>
      <c r="M7" s="57">
        <v>350</v>
      </c>
      <c r="N7" s="57">
        <v>839.26229431123647</v>
      </c>
      <c r="O7" s="49">
        <v>1.2110000000000001</v>
      </c>
      <c r="P7" s="49"/>
      <c r="Q7" s="49">
        <v>37</v>
      </c>
      <c r="R7" s="49"/>
      <c r="S7" s="49"/>
      <c r="T7" s="49"/>
      <c r="U7" s="49"/>
      <c r="V7" s="49"/>
      <c r="W7" s="49"/>
      <c r="X7" s="49">
        <v>0</v>
      </c>
      <c r="Y7" s="49">
        <v>0</v>
      </c>
      <c r="Z7" s="47">
        <v>1</v>
      </c>
      <c r="AA7" s="47">
        <v>166</v>
      </c>
    </row>
    <row r="8" spans="1:27">
      <c r="B8" s="42">
        <f>IF(Nominations[[#This Row],[Active]]=TRUE,1,0)</f>
        <v>1</v>
      </c>
      <c r="C8" s="54" t="b">
        <v>1</v>
      </c>
      <c r="D8" s="43" t="s">
        <v>304</v>
      </c>
      <c r="E8" s="43">
        <v>4</v>
      </c>
      <c r="F8" s="55" t="s">
        <v>74</v>
      </c>
      <c r="G8" s="43" t="s">
        <v>128</v>
      </c>
      <c r="H8" s="43" t="s">
        <v>327</v>
      </c>
      <c r="I8" s="56" t="s">
        <v>328</v>
      </c>
      <c r="J8" s="56" t="b">
        <v>1</v>
      </c>
      <c r="K8" s="57">
        <v>36.000000999999997</v>
      </c>
      <c r="L8" s="57">
        <v>35</v>
      </c>
      <c r="M8" s="57">
        <v>100</v>
      </c>
      <c r="N8" s="57">
        <v>723</v>
      </c>
      <c r="O8" s="49">
        <v>0.7</v>
      </c>
      <c r="P8" s="49"/>
      <c r="Q8" s="49">
        <v>112</v>
      </c>
      <c r="R8" s="49"/>
      <c r="S8" s="49"/>
      <c r="T8" s="49"/>
      <c r="U8" s="49"/>
      <c r="V8" s="49"/>
      <c r="W8" s="49"/>
      <c r="X8" s="49">
        <v>0</v>
      </c>
      <c r="Y8" s="49">
        <v>0</v>
      </c>
      <c r="Z8" s="47">
        <v>1</v>
      </c>
      <c r="AA8" s="47">
        <v>167</v>
      </c>
    </row>
    <row r="9" spans="1:27">
      <c r="B9" s="42">
        <f>IF(Nominations[[#This Row],[Active]]=TRUE,1,0)</f>
        <v>1</v>
      </c>
      <c r="C9" s="54" t="b">
        <v>1</v>
      </c>
      <c r="D9" s="43" t="s">
        <v>305</v>
      </c>
      <c r="E9" s="43">
        <v>5</v>
      </c>
      <c r="F9" s="55" t="s">
        <v>75</v>
      </c>
      <c r="G9" s="43" t="s">
        <v>129</v>
      </c>
      <c r="H9" s="43" t="s">
        <v>327</v>
      </c>
      <c r="I9" s="56" t="s">
        <v>328</v>
      </c>
      <c r="J9" s="56" t="b">
        <v>1</v>
      </c>
      <c r="K9" s="57">
        <v>136.69999999999999</v>
      </c>
      <c r="L9" s="57">
        <v>35</v>
      </c>
      <c r="M9" s="57">
        <v>250</v>
      </c>
      <c r="N9" s="57">
        <v>842.875</v>
      </c>
      <c r="O9" s="49">
        <v>0.32</v>
      </c>
      <c r="P9" s="49"/>
      <c r="Q9" s="49">
        <v>70</v>
      </c>
      <c r="R9" s="49"/>
      <c r="S9" s="49"/>
      <c r="T9" s="49"/>
      <c r="U9" s="49"/>
      <c r="V9" s="49"/>
      <c r="W9" s="49"/>
      <c r="X9" s="49">
        <v>0</v>
      </c>
      <c r="Y9" s="49">
        <v>0</v>
      </c>
      <c r="Z9" s="47">
        <v>1</v>
      </c>
      <c r="AA9" s="47">
        <v>168</v>
      </c>
    </row>
    <row r="10" spans="1:27">
      <c r="B10" s="42">
        <f>IF(Nominations[[#This Row],[Active]]=TRUE,1,0)</f>
        <v>1</v>
      </c>
      <c r="C10" s="54" t="b">
        <v>1</v>
      </c>
      <c r="D10" s="43" t="s">
        <v>306</v>
      </c>
      <c r="E10" s="43">
        <v>6</v>
      </c>
      <c r="F10" s="55" t="s">
        <v>75</v>
      </c>
      <c r="G10" s="43" t="s">
        <v>130</v>
      </c>
      <c r="H10" s="43" t="s">
        <v>327</v>
      </c>
      <c r="I10" s="56" t="s">
        <v>328</v>
      </c>
      <c r="J10" s="56" t="b">
        <v>1</v>
      </c>
      <c r="K10" s="57">
        <v>143.4</v>
      </c>
      <c r="L10" s="57">
        <v>35</v>
      </c>
      <c r="M10" s="57">
        <v>250</v>
      </c>
      <c r="N10" s="57">
        <v>845.38</v>
      </c>
      <c r="O10" s="49">
        <v>1.29</v>
      </c>
      <c r="P10" s="49"/>
      <c r="Q10" s="49">
        <v>69</v>
      </c>
      <c r="R10" s="49"/>
      <c r="S10" s="49"/>
      <c r="T10" s="49"/>
      <c r="U10" s="49"/>
      <c r="V10" s="49"/>
      <c r="W10" s="49"/>
      <c r="X10" s="49">
        <v>0</v>
      </c>
      <c r="Y10" s="49">
        <v>0</v>
      </c>
      <c r="Z10" s="47">
        <v>1</v>
      </c>
      <c r="AA10" s="47">
        <v>169</v>
      </c>
    </row>
    <row r="11" spans="1:27">
      <c r="B11" s="42">
        <f>IF(Nominations[[#This Row],[Active]]=TRUE,1,0)</f>
        <v>1</v>
      </c>
      <c r="C11" s="54" t="b">
        <v>1</v>
      </c>
      <c r="D11" s="43" t="s">
        <v>307</v>
      </c>
      <c r="E11" s="43">
        <v>7</v>
      </c>
      <c r="F11" s="55" t="s">
        <v>75</v>
      </c>
      <c r="G11" s="43" t="s">
        <v>131</v>
      </c>
      <c r="H11" s="43" t="s">
        <v>327</v>
      </c>
      <c r="I11" s="56" t="s">
        <v>328</v>
      </c>
      <c r="J11" s="56" t="b">
        <v>1</v>
      </c>
      <c r="K11" s="57">
        <v>181.7</v>
      </c>
      <c r="L11" s="57">
        <v>35</v>
      </c>
      <c r="M11" s="57">
        <v>300</v>
      </c>
      <c r="N11" s="57">
        <v>872.33333333333326</v>
      </c>
      <c r="O11" s="49">
        <v>0.87</v>
      </c>
      <c r="P11" s="49"/>
      <c r="Q11" s="49">
        <v>72</v>
      </c>
      <c r="R11" s="49"/>
      <c r="S11" s="49"/>
      <c r="T11" s="49"/>
      <c r="U11" s="49"/>
      <c r="V11" s="49"/>
      <c r="W11" s="49"/>
      <c r="X11" s="49">
        <v>0</v>
      </c>
      <c r="Y11" s="49">
        <v>0</v>
      </c>
      <c r="Z11" s="47">
        <v>1</v>
      </c>
      <c r="AA11" s="47">
        <v>170</v>
      </c>
    </row>
    <row r="12" spans="1:27">
      <c r="B12" s="42">
        <f>IF(Nominations[[#This Row],[Active]]=TRUE,1,0)</f>
        <v>1</v>
      </c>
      <c r="C12" s="54" t="b">
        <v>1</v>
      </c>
      <c r="D12" s="43" t="s">
        <v>308</v>
      </c>
      <c r="E12" s="43">
        <v>8</v>
      </c>
      <c r="F12" s="55" t="s">
        <v>76</v>
      </c>
      <c r="G12" s="43" t="s">
        <v>76</v>
      </c>
      <c r="H12" s="43" t="s">
        <v>327</v>
      </c>
      <c r="I12" s="56" t="s">
        <v>328</v>
      </c>
      <c r="J12" s="56" t="b">
        <v>1</v>
      </c>
      <c r="K12" s="57">
        <v>30.5</v>
      </c>
      <c r="L12" s="57">
        <v>35</v>
      </c>
      <c r="M12" s="57">
        <v>100</v>
      </c>
      <c r="N12" s="57">
        <v>829.9</v>
      </c>
      <c r="O12" s="49">
        <v>1.03</v>
      </c>
      <c r="P12" s="49"/>
      <c r="Q12" s="49">
        <v>83</v>
      </c>
      <c r="R12" s="49"/>
      <c r="S12" s="49"/>
      <c r="T12" s="49"/>
      <c r="U12" s="49"/>
      <c r="V12" s="49"/>
      <c r="W12" s="49"/>
      <c r="X12" s="49">
        <v>0</v>
      </c>
      <c r="Y12" s="49">
        <v>0</v>
      </c>
      <c r="Z12" s="47">
        <v>1</v>
      </c>
      <c r="AA12" s="47">
        <v>171</v>
      </c>
    </row>
    <row r="13" spans="1:27">
      <c r="B13" s="42">
        <f>IF(Nominations[[#This Row],[Active]]=TRUE,1,0)</f>
        <v>1</v>
      </c>
      <c r="C13" s="54" t="b">
        <v>1</v>
      </c>
      <c r="D13" s="43" t="s">
        <v>309</v>
      </c>
      <c r="E13" s="43">
        <v>9</v>
      </c>
      <c r="F13" s="55" t="s">
        <v>77</v>
      </c>
      <c r="G13" s="43" t="s">
        <v>132</v>
      </c>
      <c r="H13" s="43" t="s">
        <v>327</v>
      </c>
      <c r="I13" s="56" t="s">
        <v>328</v>
      </c>
      <c r="J13" s="56" t="b">
        <v>1</v>
      </c>
      <c r="K13" s="57">
        <v>2397.1999999999998</v>
      </c>
      <c r="L13" s="57">
        <v>35</v>
      </c>
      <c r="M13" s="57">
        <v>2500</v>
      </c>
      <c r="N13" s="57">
        <v>843.12175837087716</v>
      </c>
      <c r="O13" s="49">
        <v>0.73399999999999999</v>
      </c>
      <c r="P13" s="49"/>
      <c r="Q13" s="49">
        <v>67</v>
      </c>
      <c r="R13" s="49"/>
      <c r="S13" s="49"/>
      <c r="T13" s="49"/>
      <c r="U13" s="49"/>
      <c r="V13" s="49"/>
      <c r="W13" s="49"/>
      <c r="X13" s="49">
        <v>0</v>
      </c>
      <c r="Y13" s="49">
        <v>0</v>
      </c>
      <c r="Z13" s="47">
        <v>1</v>
      </c>
      <c r="AA13" s="47">
        <v>172</v>
      </c>
    </row>
    <row r="14" spans="1:27">
      <c r="B14" s="42">
        <f>IF(Nominations[[#This Row],[Active]]=TRUE,1,0)</f>
        <v>1</v>
      </c>
      <c r="C14" s="54" t="b">
        <v>1</v>
      </c>
      <c r="D14" s="43" t="s">
        <v>310</v>
      </c>
      <c r="E14" s="43">
        <v>10</v>
      </c>
      <c r="F14" s="55" t="s">
        <v>77</v>
      </c>
      <c r="G14" s="43" t="s">
        <v>133</v>
      </c>
      <c r="H14" s="43" t="s">
        <v>251</v>
      </c>
      <c r="I14" s="56" t="s">
        <v>328</v>
      </c>
      <c r="J14" s="56" t="b">
        <v>1</v>
      </c>
      <c r="K14" s="57">
        <v>2498</v>
      </c>
      <c r="L14" s="57">
        <v>35</v>
      </c>
      <c r="M14" s="57">
        <v>2750</v>
      </c>
      <c r="N14" s="57">
        <v>888.11977519662798</v>
      </c>
      <c r="O14" s="49">
        <v>2.371</v>
      </c>
      <c r="P14" s="49"/>
      <c r="Q14" s="49">
        <v>38</v>
      </c>
      <c r="R14" s="49"/>
      <c r="S14" s="49"/>
      <c r="T14" s="49"/>
      <c r="U14" s="49"/>
      <c r="V14" s="49"/>
      <c r="W14" s="49"/>
      <c r="X14" s="49">
        <v>0</v>
      </c>
      <c r="Y14" s="49">
        <v>0</v>
      </c>
      <c r="Z14" s="47">
        <v>1</v>
      </c>
      <c r="AA14" s="47">
        <v>173</v>
      </c>
    </row>
    <row r="15" spans="1:27">
      <c r="B15" s="42">
        <f>IF(Nominations[[#This Row],[Active]]=TRUE,1,0)</f>
        <v>1</v>
      </c>
      <c r="C15" s="54" t="b">
        <v>1</v>
      </c>
      <c r="D15" s="43" t="s">
        <v>311</v>
      </c>
      <c r="E15" s="43">
        <v>11</v>
      </c>
      <c r="F15" s="55" t="s">
        <v>78</v>
      </c>
      <c r="G15" s="43" t="s">
        <v>134</v>
      </c>
      <c r="H15" s="43" t="s">
        <v>327</v>
      </c>
      <c r="I15" s="56" t="s">
        <v>328</v>
      </c>
      <c r="J15" s="56" t="b">
        <v>1</v>
      </c>
      <c r="K15" s="57">
        <v>983.8</v>
      </c>
      <c r="L15" s="57">
        <v>35</v>
      </c>
      <c r="M15" s="57">
        <v>1200</v>
      </c>
      <c r="N15" s="57">
        <v>838.21851851851841</v>
      </c>
      <c r="O15" s="49">
        <v>0.67</v>
      </c>
      <c r="P15" s="49"/>
      <c r="Q15" s="49">
        <v>63</v>
      </c>
      <c r="R15" s="49"/>
      <c r="S15" s="49"/>
      <c r="T15" s="49"/>
      <c r="U15" s="49"/>
      <c r="V15" s="49"/>
      <c r="W15" s="49"/>
      <c r="X15" s="49">
        <v>0</v>
      </c>
      <c r="Y15" s="49">
        <v>0</v>
      </c>
      <c r="Z15" s="47">
        <v>1</v>
      </c>
      <c r="AA15" s="47">
        <v>174</v>
      </c>
    </row>
    <row r="16" spans="1:27">
      <c r="B16" s="42">
        <f>IF(Nominations[[#This Row],[Active]]=TRUE,1,0)</f>
        <v>1</v>
      </c>
      <c r="C16" s="54" t="b">
        <v>1</v>
      </c>
      <c r="D16" s="43" t="s">
        <v>312</v>
      </c>
      <c r="E16" s="43">
        <v>12</v>
      </c>
      <c r="F16" s="55" t="s">
        <v>78</v>
      </c>
      <c r="G16" s="43" t="s">
        <v>135</v>
      </c>
      <c r="H16" s="43" t="s">
        <v>327</v>
      </c>
      <c r="I16" s="56" t="s">
        <v>328</v>
      </c>
      <c r="J16" s="56" t="b">
        <v>1</v>
      </c>
      <c r="K16" s="57">
        <v>1737.2999999999997</v>
      </c>
      <c r="L16" s="57">
        <v>35</v>
      </c>
      <c r="M16" s="57">
        <v>2000</v>
      </c>
      <c r="N16" s="57">
        <v>824.7851063829786</v>
      </c>
      <c r="O16" s="49">
        <v>0.53900000000000003</v>
      </c>
      <c r="P16" s="49"/>
      <c r="Q16" s="49">
        <v>66</v>
      </c>
      <c r="R16" s="49"/>
      <c r="S16" s="49"/>
      <c r="T16" s="49"/>
      <c r="U16" s="49"/>
      <c r="V16" s="49"/>
      <c r="W16" s="49"/>
      <c r="X16" s="49">
        <v>0</v>
      </c>
      <c r="Y16" s="49">
        <v>0</v>
      </c>
      <c r="Z16" s="47">
        <v>1</v>
      </c>
      <c r="AA16" s="47">
        <v>175</v>
      </c>
    </row>
    <row r="17" spans="2:27">
      <c r="B17" s="42">
        <f>IF(Nominations[[#This Row],[Active]]=TRUE,1,0)</f>
        <v>1</v>
      </c>
      <c r="C17" s="54" t="b">
        <v>1</v>
      </c>
      <c r="D17" s="43" t="s">
        <v>313</v>
      </c>
      <c r="E17" s="43">
        <v>13</v>
      </c>
      <c r="F17" s="55" t="s">
        <v>78</v>
      </c>
      <c r="G17" s="43" t="s">
        <v>136</v>
      </c>
      <c r="H17" s="43" t="s">
        <v>327</v>
      </c>
      <c r="I17" s="56" t="s">
        <v>328</v>
      </c>
      <c r="J17" s="56" t="b">
        <v>1</v>
      </c>
      <c r="K17" s="57">
        <v>443.70000000000005</v>
      </c>
      <c r="L17" s="57">
        <v>35</v>
      </c>
      <c r="M17" s="57">
        <v>550</v>
      </c>
      <c r="N17" s="57">
        <v>832.5333333333333</v>
      </c>
      <c r="O17" s="49">
        <v>0.64</v>
      </c>
      <c r="P17" s="49"/>
      <c r="Q17" s="49">
        <v>68</v>
      </c>
      <c r="R17" s="49"/>
      <c r="S17" s="49"/>
      <c r="T17" s="49"/>
      <c r="U17" s="49"/>
      <c r="V17" s="49"/>
      <c r="W17" s="49"/>
      <c r="X17" s="49">
        <v>0</v>
      </c>
      <c r="Y17" s="49">
        <v>0</v>
      </c>
      <c r="Z17" s="47">
        <v>1</v>
      </c>
      <c r="AA17" s="47">
        <v>176</v>
      </c>
    </row>
    <row r="18" spans="2:27">
      <c r="B18" s="42">
        <f>IF(Nominations[[#This Row],[Active]]=TRUE,1,0)</f>
        <v>1</v>
      </c>
      <c r="C18" s="54" t="b">
        <v>1</v>
      </c>
      <c r="D18" s="43" t="s">
        <v>314</v>
      </c>
      <c r="E18" s="43">
        <v>14</v>
      </c>
      <c r="F18" s="55" t="s">
        <v>79</v>
      </c>
      <c r="G18" s="43" t="s">
        <v>137</v>
      </c>
      <c r="H18" s="43" t="s">
        <v>327</v>
      </c>
      <c r="I18" s="56" t="s">
        <v>328</v>
      </c>
      <c r="J18" s="56" t="b">
        <v>1</v>
      </c>
      <c r="K18" s="57">
        <v>62.599999999999994</v>
      </c>
      <c r="L18" s="57">
        <v>35</v>
      </c>
      <c r="M18" s="57">
        <v>150</v>
      </c>
      <c r="N18" s="57">
        <v>859.8</v>
      </c>
      <c r="O18" s="49">
        <v>1.24</v>
      </c>
      <c r="P18" s="49"/>
      <c r="Q18" s="49">
        <v>71</v>
      </c>
      <c r="R18" s="49"/>
      <c r="S18" s="49"/>
      <c r="T18" s="49"/>
      <c r="U18" s="49"/>
      <c r="V18" s="49"/>
      <c r="W18" s="49"/>
      <c r="X18" s="49">
        <v>0</v>
      </c>
      <c r="Y18" s="49">
        <v>0</v>
      </c>
      <c r="Z18" s="47">
        <v>1</v>
      </c>
      <c r="AA18" s="47">
        <v>177</v>
      </c>
    </row>
    <row r="19" spans="2:27">
      <c r="B19" s="42">
        <f>IF(Nominations[[#This Row],[Active]]=TRUE,1,0)</f>
        <v>1</v>
      </c>
      <c r="C19" s="54" t="b">
        <v>1</v>
      </c>
      <c r="D19" s="43" t="s">
        <v>315</v>
      </c>
      <c r="E19" s="43">
        <v>15</v>
      </c>
      <c r="F19" s="55" t="s">
        <v>79</v>
      </c>
      <c r="G19" s="43" t="s">
        <v>138</v>
      </c>
      <c r="H19" s="43" t="s">
        <v>327</v>
      </c>
      <c r="I19" s="56" t="s">
        <v>328</v>
      </c>
      <c r="J19" s="56" t="b">
        <v>1</v>
      </c>
      <c r="K19" s="57">
        <v>2310.5</v>
      </c>
      <c r="L19" s="57">
        <v>35</v>
      </c>
      <c r="M19" s="57">
        <v>2500</v>
      </c>
      <c r="N19" s="57">
        <v>825.28095238095239</v>
      </c>
      <c r="O19" s="49">
        <v>1.03</v>
      </c>
      <c r="P19" s="49"/>
      <c r="Q19" s="49">
        <v>99</v>
      </c>
      <c r="R19" s="49"/>
      <c r="S19" s="49"/>
      <c r="T19" s="49"/>
      <c r="U19" s="49"/>
      <c r="V19" s="49"/>
      <c r="W19" s="49"/>
      <c r="X19" s="49">
        <v>0</v>
      </c>
      <c r="Y19" s="49">
        <v>0</v>
      </c>
      <c r="Z19" s="47">
        <v>1</v>
      </c>
      <c r="AA19" s="47">
        <v>178</v>
      </c>
    </row>
    <row r="20" spans="2:27">
      <c r="B20" s="42">
        <f>IF(Nominations[[#This Row],[Active]]=TRUE,1,0)</f>
        <v>1</v>
      </c>
      <c r="C20" s="54" t="b">
        <v>1</v>
      </c>
      <c r="D20" s="43" t="s">
        <v>316</v>
      </c>
      <c r="E20" s="43">
        <v>16</v>
      </c>
      <c r="F20" s="55" t="s">
        <v>79</v>
      </c>
      <c r="G20" s="43" t="s">
        <v>139</v>
      </c>
      <c r="H20" s="43" t="s">
        <v>327</v>
      </c>
      <c r="I20" s="56" t="s">
        <v>328</v>
      </c>
      <c r="J20" s="56" t="b">
        <v>1</v>
      </c>
      <c r="K20" s="57">
        <v>178.3</v>
      </c>
      <c r="L20" s="57">
        <v>35</v>
      </c>
      <c r="M20" s="57">
        <v>250</v>
      </c>
      <c r="N20" s="57">
        <v>832.70297670936907</v>
      </c>
      <c r="O20" s="49">
        <v>0.92</v>
      </c>
      <c r="P20" s="49"/>
      <c r="Q20" s="49">
        <v>65</v>
      </c>
      <c r="R20" s="49"/>
      <c r="S20" s="49"/>
      <c r="T20" s="49"/>
      <c r="U20" s="49"/>
      <c r="V20" s="49"/>
      <c r="W20" s="49"/>
      <c r="X20" s="49">
        <v>0</v>
      </c>
      <c r="Y20" s="49">
        <v>0</v>
      </c>
      <c r="Z20" s="47">
        <v>1</v>
      </c>
      <c r="AA20" s="47">
        <v>179</v>
      </c>
    </row>
    <row r="21" spans="2:27">
      <c r="B21" s="42">
        <f>IF(Nominations[[#This Row],[Active]]=TRUE,1,0)</f>
        <v>1</v>
      </c>
      <c r="C21" s="54" t="b">
        <v>1</v>
      </c>
      <c r="D21" s="43" t="s">
        <v>317</v>
      </c>
      <c r="E21" s="43">
        <v>17</v>
      </c>
      <c r="F21" s="55" t="s">
        <v>79</v>
      </c>
      <c r="G21" s="43" t="s">
        <v>140</v>
      </c>
      <c r="H21" s="43" t="s">
        <v>327</v>
      </c>
      <c r="I21" s="56" t="s">
        <v>328</v>
      </c>
      <c r="J21" s="56" t="b">
        <v>1</v>
      </c>
      <c r="K21" s="57">
        <v>181.3</v>
      </c>
      <c r="L21" s="57">
        <v>35</v>
      </c>
      <c r="M21" s="57">
        <v>250</v>
      </c>
      <c r="N21" s="57">
        <v>846.78</v>
      </c>
      <c r="O21" s="49">
        <v>1.1499999999999999</v>
      </c>
      <c r="P21" s="49"/>
      <c r="Q21" s="49">
        <v>70</v>
      </c>
      <c r="R21" s="49"/>
      <c r="S21" s="49"/>
      <c r="T21" s="49"/>
      <c r="U21" s="49"/>
      <c r="V21" s="49"/>
      <c r="W21" s="49"/>
      <c r="X21" s="49">
        <v>0</v>
      </c>
      <c r="Y21" s="49">
        <v>0</v>
      </c>
      <c r="Z21" s="47">
        <v>1</v>
      </c>
      <c r="AA21" s="47">
        <v>180</v>
      </c>
    </row>
    <row r="22" spans="2:27">
      <c r="B22" s="42">
        <f>IF(Nominations[[#This Row],[Active]]=TRUE,1,0)</f>
        <v>1</v>
      </c>
      <c r="C22" s="54" t="b">
        <v>1</v>
      </c>
      <c r="D22" s="43" t="s">
        <v>318</v>
      </c>
      <c r="E22" s="43">
        <v>18</v>
      </c>
      <c r="F22" s="55" t="s">
        <v>79</v>
      </c>
      <c r="G22" s="43" t="s">
        <v>141</v>
      </c>
      <c r="H22" s="43" t="s">
        <v>327</v>
      </c>
      <c r="I22" s="56" t="s">
        <v>328</v>
      </c>
      <c r="J22" s="56" t="b">
        <v>1</v>
      </c>
      <c r="K22" s="57">
        <v>221.1</v>
      </c>
      <c r="L22" s="57">
        <v>35</v>
      </c>
      <c r="M22" s="57">
        <v>300</v>
      </c>
      <c r="N22" s="57">
        <v>849.85</v>
      </c>
      <c r="O22" s="49">
        <v>0.62</v>
      </c>
      <c r="P22" s="49"/>
      <c r="Q22" s="49">
        <v>65</v>
      </c>
      <c r="R22" s="49"/>
      <c r="S22" s="49"/>
      <c r="T22" s="49"/>
      <c r="U22" s="49"/>
      <c r="V22" s="49"/>
      <c r="W22" s="49"/>
      <c r="X22" s="49">
        <v>0</v>
      </c>
      <c r="Y22" s="49">
        <v>0</v>
      </c>
      <c r="Z22" s="47">
        <v>1</v>
      </c>
      <c r="AA22" s="47">
        <v>181</v>
      </c>
    </row>
    <row r="23" spans="2:27">
      <c r="B23" s="42">
        <f>IF(Nominations[[#This Row],[Active]]=TRUE,1,0)</f>
        <v>1</v>
      </c>
      <c r="C23" s="54" t="b">
        <v>1</v>
      </c>
      <c r="D23" s="43" t="s">
        <v>319</v>
      </c>
      <c r="E23" s="43">
        <v>19</v>
      </c>
      <c r="F23" s="55" t="s">
        <v>79</v>
      </c>
      <c r="G23" s="43" t="s">
        <v>142</v>
      </c>
      <c r="H23" s="43" t="s">
        <v>251</v>
      </c>
      <c r="I23" s="56" t="s">
        <v>328</v>
      </c>
      <c r="J23" s="56" t="b">
        <v>1</v>
      </c>
      <c r="K23" s="57">
        <v>140.30000000000001</v>
      </c>
      <c r="L23" s="57">
        <v>35</v>
      </c>
      <c r="M23" s="57">
        <v>200</v>
      </c>
      <c r="N23" s="57">
        <v>880.7</v>
      </c>
      <c r="O23" s="49">
        <v>2.39</v>
      </c>
      <c r="P23" s="49"/>
      <c r="Q23" s="49">
        <v>45</v>
      </c>
      <c r="R23" s="49"/>
      <c r="S23" s="49"/>
      <c r="T23" s="49"/>
      <c r="U23" s="49"/>
      <c r="V23" s="49"/>
      <c r="W23" s="49"/>
      <c r="X23" s="49">
        <v>0</v>
      </c>
      <c r="Y23" s="49">
        <v>0</v>
      </c>
      <c r="Z23" s="47">
        <v>1</v>
      </c>
      <c r="AA23" s="47">
        <v>182</v>
      </c>
    </row>
    <row r="24" spans="2:27">
      <c r="B24" s="42">
        <f>IF(Nominations[[#This Row],[Active]]=TRUE,1,0)</f>
        <v>1</v>
      </c>
      <c r="C24" s="54" t="b">
        <v>1</v>
      </c>
      <c r="D24" s="43" t="s">
        <v>320</v>
      </c>
      <c r="E24" s="43">
        <v>20</v>
      </c>
      <c r="F24" s="55" t="s">
        <v>92</v>
      </c>
      <c r="G24" s="43" t="s">
        <v>92</v>
      </c>
      <c r="H24" s="43" t="s">
        <v>327</v>
      </c>
      <c r="I24" s="56" t="s">
        <v>328</v>
      </c>
      <c r="J24" s="56" t="b">
        <v>1</v>
      </c>
      <c r="K24" s="57">
        <v>60.3</v>
      </c>
      <c r="L24" s="57">
        <v>35</v>
      </c>
      <c r="M24" s="57">
        <v>120</v>
      </c>
      <c r="N24" s="57">
        <v>867.55</v>
      </c>
      <c r="O24" s="49">
        <v>1.03</v>
      </c>
      <c r="P24" s="49"/>
      <c r="Q24" s="49">
        <v>35</v>
      </c>
      <c r="R24" s="49"/>
      <c r="S24" s="49"/>
      <c r="T24" s="49"/>
      <c r="U24" s="49"/>
      <c r="V24" s="49"/>
      <c r="W24" s="49"/>
      <c r="X24" s="49">
        <v>0</v>
      </c>
      <c r="Y24" s="49">
        <v>0</v>
      </c>
      <c r="Z24" s="47">
        <v>1</v>
      </c>
      <c r="AA24" s="47">
        <v>183</v>
      </c>
    </row>
    <row r="25" spans="2:27">
      <c r="B25" s="42">
        <f>IF(Nominations[[#This Row],[Active]]=TRUE,1,0)</f>
        <v>1</v>
      </c>
      <c r="C25" s="54" t="b">
        <v>1</v>
      </c>
      <c r="D25" s="43" t="s">
        <v>321</v>
      </c>
      <c r="E25" s="43">
        <v>21</v>
      </c>
      <c r="F25" s="55" t="s">
        <v>80</v>
      </c>
      <c r="G25" s="43" t="s">
        <v>80</v>
      </c>
      <c r="H25" s="43" t="s">
        <v>251</v>
      </c>
      <c r="I25" s="56" t="s">
        <v>328</v>
      </c>
      <c r="J25" s="56" t="b">
        <v>1</v>
      </c>
      <c r="K25" s="57">
        <v>2747.1000000000008</v>
      </c>
      <c r="L25" s="57">
        <v>35</v>
      </c>
      <c r="M25" s="57">
        <v>3000</v>
      </c>
      <c r="N25" s="57">
        <v>991.91265822784806</v>
      </c>
      <c r="O25" s="49">
        <v>3.5</v>
      </c>
      <c r="P25" s="49"/>
      <c r="Q25" s="49">
        <v>20</v>
      </c>
      <c r="R25" s="49"/>
      <c r="S25" s="49"/>
      <c r="T25" s="49"/>
      <c r="U25" s="49"/>
      <c r="V25" s="49"/>
      <c r="W25" s="49"/>
      <c r="X25" s="49">
        <v>0</v>
      </c>
      <c r="Y25" s="49">
        <v>0</v>
      </c>
      <c r="Z25" s="47">
        <v>1</v>
      </c>
      <c r="AA25" s="47">
        <v>184</v>
      </c>
    </row>
    <row r="26" spans="2:27">
      <c r="B26" s="42">
        <f>IF(Nominations[[#This Row],[Active]]=TRUE,1,0)</f>
        <v>0</v>
      </c>
      <c r="C26" s="54" t="b">
        <v>0</v>
      </c>
      <c r="D26" s="43" t="s">
        <v>322</v>
      </c>
      <c r="E26" s="43">
        <v>22</v>
      </c>
      <c r="F26" s="55" t="s">
        <v>86</v>
      </c>
      <c r="G26" s="43" t="s">
        <v>81</v>
      </c>
      <c r="H26" s="43" t="s">
        <v>251</v>
      </c>
      <c r="I26" s="56" t="s">
        <v>328</v>
      </c>
      <c r="J26" s="56" t="b">
        <v>1</v>
      </c>
      <c r="K26" s="57">
        <v>0</v>
      </c>
      <c r="L26" s="57">
        <v>35</v>
      </c>
      <c r="M26" s="57">
        <v>100</v>
      </c>
      <c r="N26" s="57">
        <v>933.34117647058815</v>
      </c>
      <c r="O26" s="49">
        <v>3.02</v>
      </c>
      <c r="P26" s="49"/>
      <c r="Q26" s="49">
        <v>87</v>
      </c>
      <c r="R26" s="49"/>
      <c r="S26" s="49"/>
      <c r="T26" s="49"/>
      <c r="U26" s="49"/>
      <c r="V26" s="49"/>
      <c r="W26" s="49"/>
      <c r="X26" s="49">
        <v>0</v>
      </c>
      <c r="Y26" s="49">
        <v>0</v>
      </c>
      <c r="Z26" s="47">
        <v>1</v>
      </c>
      <c r="AA26" s="47">
        <v>185</v>
      </c>
    </row>
    <row r="27" spans="2:27">
      <c r="B27" s="42">
        <f>IF(Nominations[[#This Row],[Active]]=TRUE,1,0)</f>
        <v>0</v>
      </c>
      <c r="C27" s="54" t="b">
        <v>0</v>
      </c>
      <c r="D27" s="43" t="s">
        <v>323</v>
      </c>
      <c r="E27" s="43">
        <v>23</v>
      </c>
      <c r="F27" s="55" t="s">
        <v>82</v>
      </c>
      <c r="G27" s="43" t="s">
        <v>82</v>
      </c>
      <c r="H27" s="43" t="s">
        <v>251</v>
      </c>
      <c r="I27" s="56" t="s">
        <v>328</v>
      </c>
      <c r="J27" s="56" t="b">
        <v>1</v>
      </c>
      <c r="K27" s="57">
        <v>0</v>
      </c>
      <c r="L27" s="57">
        <v>35</v>
      </c>
      <c r="M27" s="57">
        <v>100</v>
      </c>
      <c r="N27" s="57">
        <v>977.72</v>
      </c>
      <c r="O27" s="49">
        <v>3.32</v>
      </c>
      <c r="P27" s="49"/>
      <c r="Q27" s="49">
        <v>87</v>
      </c>
      <c r="R27" s="49"/>
      <c r="S27" s="49"/>
      <c r="T27" s="49"/>
      <c r="U27" s="49"/>
      <c r="V27" s="49"/>
      <c r="W27" s="49"/>
      <c r="X27" s="49">
        <v>0</v>
      </c>
      <c r="Y27" s="49">
        <v>0</v>
      </c>
      <c r="Z27" s="47">
        <v>1</v>
      </c>
      <c r="AA27" s="47">
        <v>186</v>
      </c>
    </row>
    <row r="28" spans="2:27">
      <c r="B28" s="42">
        <f>IF(Nominations[[#This Row],[Active]]=TRUE,1,0)</f>
        <v>0</v>
      </c>
      <c r="C28" s="54" t="b">
        <v>0</v>
      </c>
      <c r="D28" s="43" t="s">
        <v>324</v>
      </c>
      <c r="E28" s="43">
        <v>24</v>
      </c>
      <c r="F28" s="55" t="s">
        <v>30</v>
      </c>
      <c r="G28" s="43" t="s">
        <v>145</v>
      </c>
      <c r="H28" s="43" t="s">
        <v>251</v>
      </c>
      <c r="I28" s="56" t="s">
        <v>329</v>
      </c>
      <c r="J28" s="56" t="b">
        <v>0</v>
      </c>
      <c r="K28" s="57">
        <v>0</v>
      </c>
      <c r="L28" s="57">
        <v>10000</v>
      </c>
      <c r="M28" s="57">
        <v>10000</v>
      </c>
      <c r="N28" s="57">
        <v>872.6</v>
      </c>
      <c r="O28" s="49">
        <v>2.3199999999999998</v>
      </c>
      <c r="P28" s="49"/>
      <c r="Q28" s="49">
        <v>72</v>
      </c>
      <c r="R28" s="49"/>
      <c r="S28" s="49"/>
      <c r="T28" s="49"/>
      <c r="U28" s="49"/>
      <c r="V28" s="49"/>
      <c r="W28" s="49"/>
      <c r="X28" s="49">
        <v>0</v>
      </c>
      <c r="Y28" s="49">
        <v>0</v>
      </c>
      <c r="Z28" s="47">
        <v>1</v>
      </c>
      <c r="AA28" s="47">
        <v>187</v>
      </c>
    </row>
    <row r="29" spans="2:27">
      <c r="B29" s="42">
        <f>IF(Nominations[[#This Row],[Active]]=TRUE,1,0)</f>
        <v>1</v>
      </c>
      <c r="C29" s="54" t="b">
        <v>1</v>
      </c>
      <c r="D29" s="43" t="s">
        <v>325</v>
      </c>
      <c r="E29" s="43">
        <v>25</v>
      </c>
      <c r="F29" s="55" t="s">
        <v>30</v>
      </c>
      <c r="G29" s="43" t="s">
        <v>146</v>
      </c>
      <c r="H29" s="43" t="s">
        <v>327</v>
      </c>
      <c r="I29" s="56" t="s">
        <v>329</v>
      </c>
      <c r="J29" s="56" t="b">
        <v>0</v>
      </c>
      <c r="K29" s="57">
        <v>85153.949493617998</v>
      </c>
      <c r="L29" s="57">
        <v>85154</v>
      </c>
      <c r="M29" s="57">
        <v>89000</v>
      </c>
      <c r="N29" s="57">
        <v>830.1</v>
      </c>
      <c r="O29" s="49">
        <v>0.91</v>
      </c>
      <c r="P29" s="49"/>
      <c r="Q29" s="49">
        <v>81</v>
      </c>
      <c r="R29" s="49"/>
      <c r="S29" s="49"/>
      <c r="T29" s="49"/>
      <c r="U29" s="49"/>
      <c r="V29" s="49"/>
      <c r="W29" s="49"/>
      <c r="X29" s="49">
        <v>0</v>
      </c>
      <c r="Y29" s="49">
        <v>0</v>
      </c>
      <c r="Z29" s="47">
        <v>1</v>
      </c>
      <c r="AA29" s="47">
        <v>188</v>
      </c>
    </row>
    <row r="30" spans="2:27">
      <c r="B30" s="42">
        <f>IF(Nominations[[#This Row],[Active]]=TRUE,1,0)</f>
        <v>1</v>
      </c>
      <c r="C30" s="54" t="b">
        <v>1</v>
      </c>
      <c r="D30" s="43" t="s">
        <v>326</v>
      </c>
      <c r="E30" s="43">
        <v>26</v>
      </c>
      <c r="F30" s="55" t="s">
        <v>84</v>
      </c>
      <c r="G30" s="43" t="s">
        <v>84</v>
      </c>
      <c r="H30" s="43" t="s">
        <v>330</v>
      </c>
      <c r="I30" s="56" t="s">
        <v>331</v>
      </c>
      <c r="J30" s="56" t="b">
        <v>0</v>
      </c>
      <c r="K30" s="57">
        <v>5221.8</v>
      </c>
      <c r="L30" s="57">
        <v>35</v>
      </c>
      <c r="M30" s="57">
        <v>6000</v>
      </c>
      <c r="N30" s="57">
        <v>575</v>
      </c>
      <c r="O30" s="49">
        <v>0</v>
      </c>
      <c r="P30" s="49"/>
      <c r="Q30" s="49">
        <v>110.6</v>
      </c>
      <c r="R30" s="49"/>
      <c r="S30" s="49"/>
      <c r="T30" s="49"/>
      <c r="U30" s="49"/>
      <c r="V30" s="49"/>
      <c r="W30" s="49"/>
      <c r="X30" s="49">
        <v>0</v>
      </c>
      <c r="Y30" s="49">
        <v>0</v>
      </c>
      <c r="Z30" s="47">
        <v>1</v>
      </c>
      <c r="AA30" s="47">
        <v>189</v>
      </c>
    </row>
  </sheetData>
  <dataConsolidate/>
  <mergeCells count="1">
    <mergeCell ref="B2:G2"/>
  </mergeCells>
  <conditionalFormatting sqref="B5:AA30">
    <cfRule type="expression" dxfId="147" priority="5">
      <formula>$C5 = FALSE</formula>
    </cfRule>
  </conditionalFormatting>
  <conditionalFormatting sqref="C5:C30 I5:J30 P5:Y30">
    <cfRule type="containsText" dxfId="146" priority="6" operator="containsText" text="TRUE">
      <formula>NOT(ISERROR(SEARCH("TRUE",C5)))</formula>
    </cfRule>
    <cfRule type="containsText" dxfId="145" priority="7" operator="containsText" text="FALSE">
      <formula>NOT(ISERROR(SEARCH("FALSE",C5)))</formula>
    </cfRule>
  </conditionalFormatting>
  <conditionalFormatting sqref="O5:O30">
    <cfRule type="containsText" dxfId="144" priority="3" operator="containsText" text="TRUE">
      <formula>NOT(ISERROR(SEARCH("TRUE",O5)))</formula>
    </cfRule>
    <cfRule type="containsText" dxfId="143" priority="4" operator="containsText" text="FALSE">
      <formula>NOT(ISERROR(SEARCH("FALSE",O5)))</formula>
    </cfRule>
  </conditionalFormatting>
  <conditionalFormatting sqref="P5:Y30">
    <cfRule type="containsText" dxfId="142" priority="1" operator="containsText" text="TRUE">
      <formula>NOT(ISERROR(SEARCH("TRUE",P5)))</formula>
    </cfRule>
    <cfRule type="containsText" dxfId="141" priority="2" operator="containsText" text="FALSE">
      <formula>NOT(ISERROR(SEARCH("FALSE",P5)))</formula>
    </cfRule>
  </conditionalFormatting>
  <dataValidations count="3">
    <dataValidation type="list" allowBlank="1" showInputMessage="1" showErrorMessage="1" sqref="C5:C30 J5:J30">
      <formula1>"TRUE, FALSE"</formula1>
    </dataValidation>
    <dataValidation type="list" allowBlank="1" showInputMessage="1" showErrorMessage="1" sqref="F5:F30">
      <formula1>INDIRECT("Shippers[Code]")</formula1>
    </dataValidation>
    <dataValidation type="list" allowBlank="1" showInputMessage="1" showErrorMessage="1" sqref="G5:G30">
      <formula1>INDIRECT("Sites[Code]")</formula1>
    </dataValidation>
  </dataValidations>
  <pageMargins left="0.7" right="0.7" top="0.75" bottom="0.75" header="0.3" footer="0.3"/>
  <pageSetup scale="10"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2519" id="{D04167F6-B1D5-4340-A21D-38243048EC57}">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B5:B30</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A1:X17"/>
  <sheetViews>
    <sheetView showGridLines="0" topLeftCell="A2" zoomScaleNormal="100" workbookViewId="0">
      <pane xSplit="1" ySplit="3" topLeftCell="B5" activePane="bottomRight" state="frozen"/>
      <selection activeCell="J37" sqref="J37"/>
      <selection pane="topRight" activeCell="J37" sqref="J37"/>
      <selection pane="bottomLeft" activeCell="J37" sqref="J37"/>
      <selection pane="bottomRight" activeCell="H25" sqref="H25"/>
    </sheetView>
  </sheetViews>
  <sheetFormatPr defaultRowHeight="15"/>
  <cols>
    <col min="1" max="1" width="21.28515625" style="61" customWidth="1"/>
    <col min="2" max="2" width="6.42578125" style="59" customWidth="1"/>
    <col min="3" max="3" width="11.140625" style="60" customWidth="1"/>
    <col min="4" max="4" width="15.140625" style="59" bestFit="1" customWidth="1"/>
    <col min="5" max="5" width="24.42578125" style="59" bestFit="1" customWidth="1"/>
    <col min="6" max="6" width="21.42578125" style="59" bestFit="1" customWidth="1"/>
    <col min="7" max="7" width="13.42578125" style="59" bestFit="1" customWidth="1"/>
    <col min="8" max="8" width="25" style="59" bestFit="1" customWidth="1"/>
    <col min="9" max="9" width="28.140625" style="59" bestFit="1" customWidth="1"/>
    <col min="10" max="10" width="26.42578125" style="59" bestFit="1" customWidth="1"/>
    <col min="11" max="11" width="30.28515625" style="59" bestFit="1" customWidth="1"/>
    <col min="12" max="12" width="20.7109375" style="59" bestFit="1" customWidth="1"/>
    <col min="13" max="13" width="17.140625" style="59" bestFit="1" customWidth="1"/>
    <col min="14" max="15" width="21.42578125" style="59" bestFit="1" customWidth="1"/>
    <col min="16" max="17" width="19" style="59" bestFit="1" customWidth="1"/>
    <col min="18" max="18" width="27.85546875" style="59" bestFit="1" customWidth="1"/>
    <col min="19" max="19" width="15.85546875" style="59" bestFit="1" customWidth="1"/>
    <col min="20" max="20" width="9.42578125" style="59" bestFit="1" customWidth="1"/>
    <col min="21" max="21" width="14.28515625" style="59" bestFit="1" customWidth="1"/>
    <col min="22" max="22" width="13.42578125" style="59" bestFit="1" customWidth="1"/>
    <col min="23" max="23" width="16.28515625" style="59" bestFit="1" customWidth="1"/>
    <col min="24" max="24" width="15.140625" style="59" bestFit="1" customWidth="1"/>
    <col min="25" max="25" width="15.85546875" style="59" customWidth="1"/>
    <col min="26" max="26" width="7.42578125" style="59" customWidth="1"/>
    <col min="27" max="16384" width="9.140625" style="59"/>
  </cols>
  <sheetData>
    <row r="1" spans="1:24" ht="74.25" hidden="1" customHeight="1">
      <c r="A1" s="58"/>
      <c r="X1" s="59">
        <v>52</v>
      </c>
    </row>
    <row r="2" spans="1:24" s="63" customFormat="1" ht="29.25" customHeight="1" thickBot="1">
      <c r="A2" s="61"/>
      <c r="B2" s="82" t="s">
        <v>248</v>
      </c>
      <c r="C2" s="82"/>
      <c r="D2" s="82"/>
      <c r="E2" s="82"/>
      <c r="F2" s="82"/>
      <c r="G2" s="82"/>
      <c r="H2" s="82"/>
      <c r="I2" s="62"/>
      <c r="J2" s="62"/>
    </row>
    <row r="3" spans="1:24" s="64" customFormat="1" ht="9" customHeight="1" thickTop="1">
      <c r="A3" s="61"/>
      <c r="C3" s="65"/>
    </row>
    <row r="4" spans="1:24" s="68" customFormat="1" ht="15" customHeight="1">
      <c r="A4" s="61"/>
      <c r="B4" s="66" t="s">
        <v>11</v>
      </c>
      <c r="C4" s="67" t="s">
        <v>1</v>
      </c>
      <c r="D4" s="67" t="s">
        <v>0</v>
      </c>
      <c r="E4" s="67" t="s">
        <v>238</v>
      </c>
      <c r="F4" s="67" t="s">
        <v>7</v>
      </c>
      <c r="G4" s="67" t="s">
        <v>22</v>
      </c>
      <c r="H4" s="67" t="s">
        <v>239</v>
      </c>
      <c r="I4" s="67" t="s">
        <v>240</v>
      </c>
      <c r="J4" s="67" t="s">
        <v>241</v>
      </c>
      <c r="K4" s="67" t="s">
        <v>242</v>
      </c>
      <c r="L4" s="67" t="s">
        <v>243</v>
      </c>
      <c r="M4" s="67" t="s">
        <v>244</v>
      </c>
      <c r="N4" s="67" t="s">
        <v>332</v>
      </c>
      <c r="O4" s="67" t="s">
        <v>245</v>
      </c>
      <c r="P4" s="67" t="s">
        <v>246</v>
      </c>
      <c r="Q4" s="67" t="s">
        <v>247</v>
      </c>
      <c r="R4" s="67" t="s">
        <v>4</v>
      </c>
      <c r="S4" s="67" t="s">
        <v>2</v>
      </c>
      <c r="T4" s="67" t="s">
        <v>18</v>
      </c>
    </row>
    <row r="5" spans="1:24">
      <c r="A5" s="69"/>
      <c r="B5" s="70">
        <f>IF(Tariff[[#This Row],[Active]]=TRUE,1,0)</f>
        <v>1</v>
      </c>
      <c r="C5" s="71" t="b">
        <v>1</v>
      </c>
      <c r="D5" s="72" t="s">
        <v>249</v>
      </c>
      <c r="E5" s="73" t="s">
        <v>250</v>
      </c>
      <c r="F5" s="73">
        <v>10.48</v>
      </c>
      <c r="G5" s="74" t="s">
        <v>25</v>
      </c>
      <c r="H5" s="71" t="b">
        <v>1</v>
      </c>
      <c r="I5" s="75" t="s">
        <v>251</v>
      </c>
      <c r="J5" s="71" t="b">
        <v>0</v>
      </c>
      <c r="K5" s="71" t="b">
        <v>1</v>
      </c>
      <c r="L5" s="71" t="b">
        <v>0</v>
      </c>
      <c r="M5" s="71" t="b">
        <v>0</v>
      </c>
      <c r="N5" s="71"/>
      <c r="O5" s="76"/>
      <c r="P5" s="76" t="s">
        <v>93</v>
      </c>
      <c r="Q5" s="76" t="s">
        <v>151</v>
      </c>
      <c r="R5" s="76" t="s">
        <v>252</v>
      </c>
      <c r="S5" s="76">
        <v>1</v>
      </c>
      <c r="T5" s="76">
        <v>115</v>
      </c>
    </row>
    <row r="6" spans="1:24">
      <c r="B6" s="42">
        <f>IF(Tariff[[#This Row],[Active]]=TRUE,1,0)</f>
        <v>1</v>
      </c>
      <c r="C6" s="44" t="b">
        <v>1</v>
      </c>
      <c r="D6" s="43" t="s">
        <v>253</v>
      </c>
      <c r="E6" s="45" t="s">
        <v>254</v>
      </c>
      <c r="F6" s="45">
        <v>-3.794</v>
      </c>
      <c r="G6" s="46" t="s">
        <v>25</v>
      </c>
      <c r="H6" s="77" t="b">
        <v>0</v>
      </c>
      <c r="I6" s="42"/>
      <c r="J6" s="77" t="b">
        <v>0</v>
      </c>
      <c r="K6" s="77" t="b">
        <v>0</v>
      </c>
      <c r="L6" s="77" t="b">
        <v>0</v>
      </c>
      <c r="M6" s="77" t="b">
        <v>0</v>
      </c>
      <c r="N6" s="44"/>
      <c r="O6" s="47"/>
      <c r="P6" s="47" t="s">
        <v>93</v>
      </c>
      <c r="Q6" s="47" t="s">
        <v>151</v>
      </c>
      <c r="R6" s="47" t="s">
        <v>255</v>
      </c>
      <c r="S6" s="47">
        <v>1</v>
      </c>
      <c r="T6" s="47">
        <v>116</v>
      </c>
    </row>
    <row r="7" spans="1:24">
      <c r="B7" s="42">
        <f>IF(Tariff[[#This Row],[Active]]=TRUE,1,0)</f>
        <v>1</v>
      </c>
      <c r="C7" s="44" t="b">
        <v>1</v>
      </c>
      <c r="D7" s="43" t="s">
        <v>256</v>
      </c>
      <c r="E7" s="45" t="s">
        <v>254</v>
      </c>
      <c r="F7" s="45">
        <v>-2.25</v>
      </c>
      <c r="G7" s="46" t="s">
        <v>25</v>
      </c>
      <c r="H7" s="77" t="b">
        <v>0</v>
      </c>
      <c r="I7" s="42"/>
      <c r="J7" s="77" t="b">
        <v>0</v>
      </c>
      <c r="K7" s="77" t="b">
        <v>0</v>
      </c>
      <c r="L7" s="77" t="b">
        <v>0</v>
      </c>
      <c r="M7" s="77" t="b">
        <v>0</v>
      </c>
      <c r="N7" s="44"/>
      <c r="O7" s="47"/>
      <c r="P7" s="47" t="s">
        <v>93</v>
      </c>
      <c r="Q7" s="47" t="s">
        <v>151</v>
      </c>
      <c r="R7" s="47" t="s">
        <v>257</v>
      </c>
      <c r="S7" s="47">
        <v>1</v>
      </c>
      <c r="T7" s="47">
        <v>117</v>
      </c>
    </row>
    <row r="8" spans="1:24">
      <c r="B8" s="42">
        <f>IF(Tariff[[#This Row],[Active]]=TRUE,1,0)</f>
        <v>1</v>
      </c>
      <c r="C8" s="44" t="b">
        <v>1</v>
      </c>
      <c r="D8" s="43" t="s">
        <v>258</v>
      </c>
      <c r="E8" s="45" t="s">
        <v>259</v>
      </c>
      <c r="F8" s="45">
        <v>-5.0000000000000001E-3</v>
      </c>
      <c r="G8" s="46"/>
      <c r="H8" s="77" t="b">
        <v>0</v>
      </c>
      <c r="I8" s="42"/>
      <c r="J8" s="77" t="b">
        <v>0</v>
      </c>
      <c r="K8" s="77" t="b">
        <v>0</v>
      </c>
      <c r="L8" s="77" t="b">
        <v>0</v>
      </c>
      <c r="M8" s="77" t="b">
        <v>0</v>
      </c>
      <c r="N8" s="44"/>
      <c r="O8" s="47"/>
      <c r="P8" s="47" t="s">
        <v>93</v>
      </c>
      <c r="Q8" s="47" t="s">
        <v>151</v>
      </c>
      <c r="R8" s="47" t="s">
        <v>260</v>
      </c>
      <c r="S8" s="47">
        <v>1</v>
      </c>
      <c r="T8" s="47">
        <v>118</v>
      </c>
    </row>
    <row r="9" spans="1:24">
      <c r="B9" s="42">
        <f>IF(Tariff[[#This Row],[Active]]=TRUE,1,0)</f>
        <v>0</v>
      </c>
      <c r="C9" s="44" t="b">
        <v>0</v>
      </c>
      <c r="D9" s="43" t="s">
        <v>261</v>
      </c>
      <c r="E9" s="45" t="s">
        <v>259</v>
      </c>
      <c r="F9" s="45">
        <v>-2.5000000000000001E-3</v>
      </c>
      <c r="G9" s="46" t="s">
        <v>25</v>
      </c>
      <c r="H9" s="77" t="b">
        <v>0</v>
      </c>
      <c r="I9" s="42"/>
      <c r="J9" s="77" t="b">
        <v>0</v>
      </c>
      <c r="K9" s="77" t="b">
        <v>0</v>
      </c>
      <c r="L9" s="77" t="b">
        <v>0</v>
      </c>
      <c r="M9" s="77" t="b">
        <v>0</v>
      </c>
      <c r="N9" s="44"/>
      <c r="O9" s="47"/>
      <c r="P9" s="47" t="s">
        <v>93</v>
      </c>
      <c r="Q9" s="47" t="s">
        <v>151</v>
      </c>
      <c r="R9" s="47" t="s">
        <v>260</v>
      </c>
      <c r="S9" s="47">
        <v>1</v>
      </c>
      <c r="T9" s="47">
        <v>119</v>
      </c>
    </row>
    <row r="10" spans="1:24">
      <c r="B10" s="42">
        <f>IF(Tariff[[#This Row],[Active]]=TRUE,1,0)</f>
        <v>1</v>
      </c>
      <c r="C10" s="44" t="b">
        <v>1</v>
      </c>
      <c r="D10" s="43" t="s">
        <v>262</v>
      </c>
      <c r="E10" s="45" t="s">
        <v>250</v>
      </c>
      <c r="F10" s="45">
        <v>46.47</v>
      </c>
      <c r="G10" s="46" t="s">
        <v>25</v>
      </c>
      <c r="H10" s="77" t="b">
        <v>0</v>
      </c>
      <c r="I10" s="42" t="s">
        <v>251</v>
      </c>
      <c r="J10" s="77" t="b">
        <v>0</v>
      </c>
      <c r="K10" s="77" t="b">
        <v>1</v>
      </c>
      <c r="L10" s="77" t="b">
        <v>0</v>
      </c>
      <c r="M10" s="77" t="b">
        <v>0</v>
      </c>
      <c r="N10" s="44"/>
      <c r="O10" s="47"/>
      <c r="P10" s="47" t="s">
        <v>93</v>
      </c>
      <c r="Q10" s="47" t="s">
        <v>151</v>
      </c>
      <c r="R10" s="47" t="s">
        <v>263</v>
      </c>
      <c r="S10" s="47">
        <v>1</v>
      </c>
      <c r="T10" s="47">
        <v>120</v>
      </c>
    </row>
    <row r="11" spans="1:24">
      <c r="B11" s="42">
        <f>IF(Tariff[[#This Row],[Active]]=TRUE,1,0)</f>
        <v>1</v>
      </c>
      <c r="C11" s="44" t="b">
        <v>1</v>
      </c>
      <c r="D11" s="43" t="s">
        <v>264</v>
      </c>
      <c r="E11" s="45" t="s">
        <v>250</v>
      </c>
      <c r="F11" s="45">
        <v>-10.99</v>
      </c>
      <c r="G11" s="46" t="s">
        <v>25</v>
      </c>
      <c r="H11" s="77" t="b">
        <v>0</v>
      </c>
      <c r="I11" s="42"/>
      <c r="J11" s="77" t="b">
        <v>0</v>
      </c>
      <c r="K11" s="77" t="b">
        <v>0</v>
      </c>
      <c r="L11" s="77" t="b">
        <v>0</v>
      </c>
      <c r="M11" s="77" t="b">
        <v>0</v>
      </c>
      <c r="N11" s="44"/>
      <c r="O11" s="47"/>
      <c r="P11" s="47" t="s">
        <v>93</v>
      </c>
      <c r="Q11" s="47" t="s">
        <v>151</v>
      </c>
      <c r="R11" s="47" t="s">
        <v>265</v>
      </c>
      <c r="S11" s="47">
        <v>1</v>
      </c>
      <c r="T11" s="47">
        <v>121</v>
      </c>
    </row>
    <row r="12" spans="1:24">
      <c r="B12" s="42">
        <f>IF(Tariff[[#This Row],[Active]]=TRUE,1,0)</f>
        <v>1</v>
      </c>
      <c r="C12" s="44" t="b">
        <v>1</v>
      </c>
      <c r="D12" s="43" t="s">
        <v>266</v>
      </c>
      <c r="E12" s="45" t="s">
        <v>267</v>
      </c>
      <c r="F12" s="45">
        <v>-3.794</v>
      </c>
      <c r="G12" s="46" t="s">
        <v>25</v>
      </c>
      <c r="H12" s="77" t="b">
        <v>0</v>
      </c>
      <c r="I12" s="42" t="s">
        <v>251</v>
      </c>
      <c r="J12" s="77" t="b">
        <v>0</v>
      </c>
      <c r="K12" s="77" t="b">
        <v>0</v>
      </c>
      <c r="L12" s="77" t="b">
        <v>0</v>
      </c>
      <c r="M12" s="77" t="b">
        <v>0</v>
      </c>
      <c r="N12" s="44"/>
      <c r="O12" s="47"/>
      <c r="P12" s="47" t="s">
        <v>93</v>
      </c>
      <c r="Q12" s="47" t="s">
        <v>151</v>
      </c>
      <c r="R12" s="47" t="s">
        <v>268</v>
      </c>
      <c r="S12" s="47">
        <v>1</v>
      </c>
      <c r="T12" s="47">
        <v>122</v>
      </c>
    </row>
    <row r="13" spans="1:24">
      <c r="B13" s="42">
        <f>IF(Tariff[[#This Row],[Active]]=TRUE,1,0)</f>
        <v>1</v>
      </c>
      <c r="C13" s="44" t="b">
        <v>1</v>
      </c>
      <c r="D13" s="43" t="s">
        <v>269</v>
      </c>
      <c r="E13" s="45" t="s">
        <v>270</v>
      </c>
      <c r="F13" s="45">
        <v>1.2684538059999999</v>
      </c>
      <c r="G13" s="46" t="s">
        <v>25</v>
      </c>
      <c r="H13" s="77" t="b">
        <v>0</v>
      </c>
      <c r="I13" s="42"/>
      <c r="J13" s="77" t="b">
        <v>0</v>
      </c>
      <c r="K13" s="77" t="b">
        <v>0</v>
      </c>
      <c r="L13" s="77" t="b">
        <v>0</v>
      </c>
      <c r="M13" s="77" t="b">
        <v>0</v>
      </c>
      <c r="N13" s="44" t="s">
        <v>30</v>
      </c>
      <c r="O13" s="47"/>
      <c r="P13" s="47" t="s">
        <v>93</v>
      </c>
      <c r="Q13" s="47" t="s">
        <v>151</v>
      </c>
      <c r="R13" s="47" t="s">
        <v>271</v>
      </c>
      <c r="S13" s="47">
        <v>1</v>
      </c>
      <c r="T13" s="47">
        <v>123</v>
      </c>
    </row>
    <row r="14" spans="1:24">
      <c r="B14" s="42">
        <f>IF(Tariff[[#This Row],[Active]]=TRUE,1,0)</f>
        <v>1</v>
      </c>
      <c r="C14" s="44" t="b">
        <v>1</v>
      </c>
      <c r="D14" s="43" t="s">
        <v>272</v>
      </c>
      <c r="E14" s="45" t="s">
        <v>273</v>
      </c>
      <c r="F14" s="45">
        <v>-3.794</v>
      </c>
      <c r="G14" s="46" t="s">
        <v>25</v>
      </c>
      <c r="H14" s="77" t="b">
        <v>0</v>
      </c>
      <c r="I14" s="42"/>
      <c r="J14" s="77" t="b">
        <v>0</v>
      </c>
      <c r="K14" s="77" t="b">
        <v>1</v>
      </c>
      <c r="L14" s="77" t="b">
        <v>0</v>
      </c>
      <c r="M14" s="77" t="b">
        <v>0</v>
      </c>
      <c r="N14" s="44"/>
      <c r="O14" s="47"/>
      <c r="P14" s="47" t="s">
        <v>93</v>
      </c>
      <c r="Q14" s="47" t="s">
        <v>151</v>
      </c>
      <c r="R14" s="47" t="s">
        <v>274</v>
      </c>
      <c r="S14" s="47">
        <v>1</v>
      </c>
      <c r="T14" s="47">
        <v>124</v>
      </c>
    </row>
    <row r="15" spans="1:24">
      <c r="B15" s="42">
        <f>IF(Tariff[[#This Row],[Active]]=TRUE,1,0)</f>
        <v>1</v>
      </c>
      <c r="C15" s="44" t="b">
        <v>1</v>
      </c>
      <c r="D15" s="43" t="s">
        <v>275</v>
      </c>
      <c r="E15" s="45" t="s">
        <v>270</v>
      </c>
      <c r="F15" s="45">
        <v>-0.11</v>
      </c>
      <c r="G15" s="46" t="s">
        <v>25</v>
      </c>
      <c r="H15" s="77" t="b">
        <v>1</v>
      </c>
      <c r="I15" s="42" t="s">
        <v>251</v>
      </c>
      <c r="J15" s="77" t="b">
        <v>0</v>
      </c>
      <c r="K15" s="77" t="b">
        <v>0</v>
      </c>
      <c r="L15" s="77" t="b">
        <v>0</v>
      </c>
      <c r="M15" s="77" t="b">
        <v>0</v>
      </c>
      <c r="N15" s="44" t="s">
        <v>30</v>
      </c>
      <c r="O15" s="47"/>
      <c r="P15" s="47" t="s">
        <v>93</v>
      </c>
      <c r="Q15" s="47" t="s">
        <v>151</v>
      </c>
      <c r="R15" s="47" t="s">
        <v>276</v>
      </c>
      <c r="S15" s="47">
        <v>1</v>
      </c>
      <c r="T15" s="47">
        <v>125</v>
      </c>
    </row>
    <row r="16" spans="1:24">
      <c r="B16" s="42">
        <f>IF(Tariff[[#This Row],[Active]]=TRUE,1,0)</f>
        <v>1</v>
      </c>
      <c r="C16" s="44" t="b">
        <v>1</v>
      </c>
      <c r="D16" s="43" t="s">
        <v>277</v>
      </c>
      <c r="E16" s="45" t="s">
        <v>267</v>
      </c>
      <c r="F16" s="45">
        <v>-4.4429999999999996</v>
      </c>
      <c r="G16" s="46" t="s">
        <v>25</v>
      </c>
      <c r="H16" s="77" t="b">
        <v>0</v>
      </c>
      <c r="I16" s="42"/>
      <c r="J16" s="77" t="b">
        <v>0</v>
      </c>
      <c r="K16" s="77" t="b">
        <v>0</v>
      </c>
      <c r="L16" s="77" t="b">
        <v>0</v>
      </c>
      <c r="M16" s="77" t="b">
        <v>0</v>
      </c>
      <c r="N16" s="44" t="s">
        <v>93</v>
      </c>
      <c r="O16" s="47" t="s">
        <v>151</v>
      </c>
      <c r="P16" s="47" t="s">
        <v>30</v>
      </c>
      <c r="Q16" s="47"/>
      <c r="R16" s="47" t="s">
        <v>278</v>
      </c>
      <c r="S16" s="47">
        <v>1</v>
      </c>
      <c r="T16" s="47">
        <v>126</v>
      </c>
    </row>
    <row r="17" spans="2:20">
      <c r="B17" s="42">
        <f>IF(Tariff[[#This Row],[Active]]=TRUE,1,0)</f>
        <v>1</v>
      </c>
      <c r="C17" s="44" t="b">
        <v>1</v>
      </c>
      <c r="D17" s="43" t="s">
        <v>279</v>
      </c>
      <c r="E17" s="45" t="s">
        <v>250</v>
      </c>
      <c r="F17" s="45">
        <v>10.48</v>
      </c>
      <c r="G17" s="46" t="s">
        <v>25</v>
      </c>
      <c r="H17" s="77" t="b">
        <v>0</v>
      </c>
      <c r="I17" s="42"/>
      <c r="J17" s="77" t="b">
        <v>0</v>
      </c>
      <c r="K17" s="77" t="b">
        <v>0</v>
      </c>
      <c r="L17" s="77" t="b">
        <v>0</v>
      </c>
      <c r="M17" s="77" t="b">
        <v>0</v>
      </c>
      <c r="N17" s="44" t="s">
        <v>93</v>
      </c>
      <c r="O17" s="47" t="s">
        <v>151</v>
      </c>
      <c r="P17" s="47" t="s">
        <v>30</v>
      </c>
      <c r="Q17" s="47"/>
      <c r="R17" s="47" t="s">
        <v>280</v>
      </c>
      <c r="S17" s="47">
        <v>1</v>
      </c>
      <c r="T17" s="47">
        <v>127</v>
      </c>
    </row>
  </sheetData>
  <dataConsolidate/>
  <mergeCells count="1">
    <mergeCell ref="B2:H2"/>
  </mergeCells>
  <conditionalFormatting sqref="B5:T17">
    <cfRule type="expression" dxfId="110" priority="9">
      <formula>$C5 = FALSE</formula>
    </cfRule>
  </conditionalFormatting>
  <conditionalFormatting sqref="C5:C17 N5:N17">
    <cfRule type="containsText" dxfId="109" priority="10" operator="containsText" text="TRUE">
      <formula>NOT(ISERROR(SEARCH("TRUE",C5)))</formula>
    </cfRule>
    <cfRule type="containsText" dxfId="108" priority="11" operator="containsText" text="FALSE">
      <formula>NOT(ISERROR(SEARCH("FALSE",C5)))</formula>
    </cfRule>
  </conditionalFormatting>
  <conditionalFormatting sqref="H5:H17">
    <cfRule type="containsText" dxfId="107" priority="7" operator="containsText" text="TRUE">
      <formula>NOT(ISERROR(SEARCH("TRUE",H5)))</formula>
    </cfRule>
    <cfRule type="containsText" dxfId="106" priority="8" operator="containsText" text="FALSE">
      <formula>NOT(ISERROR(SEARCH("FALSE",H5)))</formula>
    </cfRule>
  </conditionalFormatting>
  <conditionalFormatting sqref="J5:J17">
    <cfRule type="containsText" dxfId="105" priority="5" operator="containsText" text="TRUE">
      <formula>NOT(ISERROR(SEARCH("TRUE",J5)))</formula>
    </cfRule>
    <cfRule type="containsText" dxfId="104" priority="6" operator="containsText" text="FALSE">
      <formula>NOT(ISERROR(SEARCH("FALSE",J5)))</formula>
    </cfRule>
  </conditionalFormatting>
  <conditionalFormatting sqref="K5:K17">
    <cfRule type="containsText" dxfId="103" priority="3" operator="containsText" text="TRUE">
      <formula>NOT(ISERROR(SEARCH("TRUE",K5)))</formula>
    </cfRule>
    <cfRule type="containsText" dxfId="102" priority="4" operator="containsText" text="FALSE">
      <formula>NOT(ISERROR(SEARCH("FALSE",K5)))</formula>
    </cfRule>
  </conditionalFormatting>
  <conditionalFormatting sqref="L5:M17">
    <cfRule type="containsText" dxfId="101" priority="1" operator="containsText" text="TRUE">
      <formula>NOT(ISERROR(SEARCH("TRUE",L5)))</formula>
    </cfRule>
    <cfRule type="containsText" dxfId="100" priority="2" operator="containsText" text="FALSE">
      <formula>NOT(ISERROR(SEARCH("FALSE",L5)))</formula>
    </cfRule>
  </conditionalFormatting>
  <dataValidations count="3">
    <dataValidation type="list" allowBlank="1" showInputMessage="1" showErrorMessage="1" sqref="C5:C17 H5:H17">
      <formula1>"TRUE, FALSE"</formula1>
    </dataValidation>
    <dataValidation type="list" allowBlank="1" showInputMessage="1" showErrorMessage="1" sqref="E5:E17">
      <formula1>"ALLOWANCE, COST_ADJUSTMENTS, SALES_ADJUSTMENTS, TARIFF, TOLL, WADF"</formula1>
    </dataValidation>
    <dataValidation type="list" allowBlank="1" showInputMessage="1" showErrorMessage="1" sqref="G5:G17">
      <formula1>"CAN, USD"</formula1>
    </dataValidation>
  </dataValidations>
  <pageMargins left="0.7" right="0.7" top="0.75" bottom="0.75" header="0.3" footer="0.3"/>
  <pageSetup scale="10"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2521" id="{B61DDCC7-00CC-4D0B-B680-72F0EADE1C52}">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B5:B17</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4" tint="0.39997558519241921"/>
    <pageSetUpPr fitToPage="1"/>
  </sheetPr>
  <dimension ref="A1:R12"/>
  <sheetViews>
    <sheetView showGridLines="0" topLeftCell="A2" zoomScaleNormal="100" workbookViewId="0">
      <pane xSplit="1" ySplit="3" topLeftCell="B5" activePane="bottomRight" state="frozen"/>
      <selection activeCell="L21" sqref="L21"/>
      <selection pane="topRight" activeCell="L21" sqref="L21"/>
      <selection pane="bottomLeft" activeCell="L21" sqref="L21"/>
      <selection pane="bottomRight" activeCell="G8" sqref="G8"/>
    </sheetView>
  </sheetViews>
  <sheetFormatPr defaultRowHeight="15"/>
  <cols>
    <col min="1" max="1" width="21.28515625" style="24" customWidth="1"/>
    <col min="2" max="2" width="6.42578125" customWidth="1"/>
    <col min="3" max="3" width="11.140625" style="15" customWidth="1"/>
    <col min="4" max="4" width="10.140625" customWidth="1"/>
    <col min="5" max="5" width="11.85546875" customWidth="1"/>
    <col min="6" max="6" width="16.7109375" customWidth="1"/>
    <col min="7" max="7" width="11" customWidth="1"/>
    <col min="8" max="8" width="10.7109375" customWidth="1"/>
    <col min="9" max="9" width="14.28515625" customWidth="1"/>
    <col min="10" max="10" width="13.42578125" customWidth="1"/>
    <col min="11" max="11" width="15.85546875" customWidth="1"/>
    <col min="12" max="12" width="7.42578125" customWidth="1"/>
    <col min="13" max="13" width="9.140625" bestFit="1" customWidth="1"/>
    <col min="14" max="14" width="9.42578125" bestFit="1" customWidth="1"/>
    <col min="15" max="15" width="14.28515625" bestFit="1" customWidth="1"/>
    <col min="16" max="16" width="13.42578125" bestFit="1" customWidth="1"/>
    <col min="17" max="17" width="16.28515625" bestFit="1" customWidth="1"/>
    <col min="18" max="18" width="15.140625" bestFit="1" customWidth="1"/>
    <col min="19" max="19" width="15.85546875" customWidth="1"/>
    <col min="20" max="20" width="7.42578125" customWidth="1"/>
  </cols>
  <sheetData>
    <row r="1" spans="1:18" ht="74.25" hidden="1" customHeight="1">
      <c r="A1" s="16"/>
      <c r="R1">
        <v>52</v>
      </c>
    </row>
    <row r="2" spans="1:18" s="5" customFormat="1" ht="29.25" customHeight="1" thickBot="1">
      <c r="A2" s="24"/>
      <c r="B2" s="81" t="s">
        <v>361</v>
      </c>
      <c r="C2" s="81"/>
      <c r="D2" s="81"/>
      <c r="E2" s="81"/>
      <c r="F2" s="81"/>
      <c r="G2" s="81"/>
      <c r="H2" s="81"/>
      <c r="I2" s="81"/>
      <c r="J2" s="81"/>
      <c r="K2" s="26"/>
    </row>
    <row r="3" spans="1:18" s="4" customFormat="1" ht="9" customHeight="1" thickTop="1">
      <c r="A3" s="24"/>
      <c r="C3" s="22"/>
    </row>
    <row r="4" spans="1:18" s="13" customFormat="1" ht="15" customHeight="1">
      <c r="A4" s="24"/>
      <c r="B4" s="20" t="s">
        <v>11</v>
      </c>
      <c r="C4" s="19" t="s">
        <v>1</v>
      </c>
      <c r="D4" s="19" t="s">
        <v>0</v>
      </c>
      <c r="E4" s="19" t="s">
        <v>28</v>
      </c>
      <c r="F4" s="19" t="s">
        <v>29</v>
      </c>
      <c r="G4" s="19" t="s">
        <v>27</v>
      </c>
      <c r="H4" s="19" t="s">
        <v>7</v>
      </c>
      <c r="I4" s="19" t="s">
        <v>17</v>
      </c>
      <c r="J4" s="19" t="s">
        <v>24</v>
      </c>
      <c r="K4" s="19" t="s">
        <v>2</v>
      </c>
      <c r="L4" s="19" t="s">
        <v>18</v>
      </c>
    </row>
    <row r="5" spans="1:18">
      <c r="A5" s="25"/>
      <c r="B5" s="28">
        <f>IF(FacilityDep[[#This Row],[Active]]=TRUE,1,0)</f>
        <v>1</v>
      </c>
      <c r="C5" s="29" t="b">
        <v>1</v>
      </c>
      <c r="D5" s="27" t="s">
        <v>41</v>
      </c>
      <c r="E5" s="32" t="s">
        <v>32</v>
      </c>
      <c r="F5" s="32" t="s">
        <v>33</v>
      </c>
      <c r="G5" s="32" t="s">
        <v>42</v>
      </c>
      <c r="H5" s="27">
        <v>0.4</v>
      </c>
      <c r="I5" s="39"/>
      <c r="J5" s="39"/>
      <c r="K5" s="37">
        <v>25</v>
      </c>
      <c r="L5" s="38">
        <v>463</v>
      </c>
    </row>
    <row r="6" spans="1:18">
      <c r="B6" s="42">
        <f>IF(FacilityDep[[#This Row],[Active]]=TRUE,1,0)</f>
        <v>1</v>
      </c>
      <c r="C6" s="44" t="b">
        <v>1</v>
      </c>
      <c r="D6" s="42" t="s">
        <v>41</v>
      </c>
      <c r="E6" s="45" t="s">
        <v>32</v>
      </c>
      <c r="F6" s="45" t="s">
        <v>34</v>
      </c>
      <c r="G6" s="45" t="s">
        <v>42</v>
      </c>
      <c r="H6" s="42">
        <v>0.4</v>
      </c>
      <c r="I6" s="46"/>
      <c r="J6" s="46"/>
      <c r="K6" s="47">
        <v>25</v>
      </c>
      <c r="L6" s="47">
        <v>464</v>
      </c>
    </row>
    <row r="7" spans="1:18">
      <c r="B7" s="42">
        <f>IF(FacilityDep[[#This Row],[Active]]=TRUE,1,0)</f>
        <v>1</v>
      </c>
      <c r="C7" s="44" t="b">
        <v>1</v>
      </c>
      <c r="D7" s="42" t="s">
        <v>41</v>
      </c>
      <c r="E7" s="45" t="s">
        <v>32</v>
      </c>
      <c r="F7" s="45" t="s">
        <v>36</v>
      </c>
      <c r="G7" s="45" t="s">
        <v>42</v>
      </c>
      <c r="H7" s="42">
        <v>0.6</v>
      </c>
      <c r="I7" s="46"/>
      <c r="J7" s="46"/>
      <c r="K7" s="47">
        <v>25</v>
      </c>
      <c r="L7" s="47">
        <v>465</v>
      </c>
    </row>
    <row r="8" spans="1:18">
      <c r="B8" s="42">
        <f>IF(FacilityDep[[#This Row],[Active]]=TRUE,1,0)</f>
        <v>1</v>
      </c>
      <c r="C8" s="44" t="b">
        <v>1</v>
      </c>
      <c r="D8" s="42" t="s">
        <v>41</v>
      </c>
      <c r="E8" s="45" t="s">
        <v>32</v>
      </c>
      <c r="F8" s="45" t="s">
        <v>35</v>
      </c>
      <c r="G8" s="45" t="s">
        <v>42</v>
      </c>
      <c r="H8" s="42">
        <v>1</v>
      </c>
      <c r="I8" s="46"/>
      <c r="J8" s="46"/>
      <c r="K8" s="47">
        <v>25</v>
      </c>
      <c r="L8" s="47">
        <v>466</v>
      </c>
    </row>
    <row r="9" spans="1:18">
      <c r="B9" s="42">
        <f>IF(FacilityDep[[#This Row],[Active]]=TRUE,1,0)</f>
        <v>1</v>
      </c>
      <c r="C9" s="44" t="b">
        <v>1</v>
      </c>
      <c r="D9" s="42" t="s">
        <v>41</v>
      </c>
      <c r="E9" s="45" t="s">
        <v>32</v>
      </c>
      <c r="F9" s="45" t="s">
        <v>37</v>
      </c>
      <c r="G9" s="45" t="s">
        <v>42</v>
      </c>
      <c r="H9" s="42">
        <v>0.2</v>
      </c>
      <c r="I9" s="46"/>
      <c r="J9" s="46"/>
      <c r="K9" s="47">
        <v>25</v>
      </c>
      <c r="L9" s="47">
        <v>467</v>
      </c>
    </row>
    <row r="10" spans="1:18">
      <c r="B10" s="42">
        <f>IF(FacilityDep[[#This Row],[Active]]=TRUE,1,0)</f>
        <v>1</v>
      </c>
      <c r="C10" s="44" t="b">
        <v>1</v>
      </c>
      <c r="D10" s="42" t="s">
        <v>41</v>
      </c>
      <c r="E10" s="45" t="s">
        <v>32</v>
      </c>
      <c r="F10" s="45" t="s">
        <v>38</v>
      </c>
      <c r="G10" s="45" t="s">
        <v>42</v>
      </c>
      <c r="H10" s="42">
        <v>0.7</v>
      </c>
      <c r="I10" s="46"/>
      <c r="J10" s="46"/>
      <c r="K10" s="47">
        <v>25</v>
      </c>
      <c r="L10" s="47">
        <v>468</v>
      </c>
    </row>
    <row r="11" spans="1:18">
      <c r="B11" s="42">
        <f>IF(FacilityDep[[#This Row],[Active]]=TRUE,1,0)</f>
        <v>1</v>
      </c>
      <c r="C11" s="44" t="b">
        <v>1</v>
      </c>
      <c r="D11" s="42" t="s">
        <v>41</v>
      </c>
      <c r="E11" s="45" t="s">
        <v>32</v>
      </c>
      <c r="F11" s="45" t="s">
        <v>39</v>
      </c>
      <c r="G11" s="45" t="s">
        <v>42</v>
      </c>
      <c r="H11" s="42">
        <v>0.6</v>
      </c>
      <c r="I11" s="46"/>
      <c r="J11" s="46"/>
      <c r="K11" s="47">
        <v>25</v>
      </c>
      <c r="L11" s="47">
        <v>469</v>
      </c>
    </row>
    <row r="12" spans="1:18">
      <c r="B12" s="42">
        <f>IF(FacilityDep[[#This Row],[Active]]=TRUE,1,0)</f>
        <v>1</v>
      </c>
      <c r="C12" s="44" t="b">
        <v>1</v>
      </c>
      <c r="D12" s="42" t="s">
        <v>41</v>
      </c>
      <c r="E12" s="45" t="s">
        <v>32</v>
      </c>
      <c r="F12" s="45" t="s">
        <v>40</v>
      </c>
      <c r="G12" s="45" t="s">
        <v>42</v>
      </c>
      <c r="H12" s="42">
        <v>0.4</v>
      </c>
      <c r="I12" s="46"/>
      <c r="J12" s="46"/>
      <c r="K12" s="47">
        <v>25</v>
      </c>
      <c r="L12" s="47">
        <v>470</v>
      </c>
    </row>
  </sheetData>
  <dataConsolidate/>
  <mergeCells count="1">
    <mergeCell ref="B2:J2"/>
  </mergeCells>
  <conditionalFormatting sqref="B5:L12">
    <cfRule type="expression" dxfId="76" priority="1">
      <formula>$C5 = FALSE</formula>
    </cfRule>
  </conditionalFormatting>
  <conditionalFormatting sqref="C5:C12">
    <cfRule type="containsText" dxfId="75" priority="2" operator="containsText" text="TRUE">
      <formula>NOT(ISERROR(SEARCH("TRUE",C5)))</formula>
    </cfRule>
    <cfRule type="containsText" dxfId="74" priority="3" operator="containsText" text="FALSE">
      <formula>NOT(ISERROR(SEARCH("FALSE",C5)))</formula>
    </cfRule>
  </conditionalFormatting>
  <dataValidations count="2">
    <dataValidation type="list" allowBlank="1" showInputMessage="1" showErrorMessage="1" sqref="C5:C12">
      <formula1>"TRUE, FALSE"</formula1>
    </dataValidation>
    <dataValidation type="list" allowBlank="1" showInputMessage="1" showErrorMessage="1" sqref="E5:F12">
      <formula1>INDIRECT("Facilities[Code]")</formula1>
    </dataValidation>
  </dataValidations>
  <pageMargins left="0.7" right="0.7" top="0.75" bottom="0.75" header="0.3" footer="0.3"/>
  <pageSetup scale="70"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1648" id="{372F540D-EA81-4054-882B-D0C2E8D7F415}">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B5:B12</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M9"/>
  <sheetViews>
    <sheetView showGridLines="0" tabSelected="1" topLeftCell="A2" zoomScaleNormal="100" workbookViewId="0">
      <pane xSplit="1" ySplit="3" topLeftCell="B5" activePane="bottomRight" state="frozen"/>
      <selection activeCell="J37" sqref="J37"/>
      <selection pane="topRight" activeCell="J37" sqref="J37"/>
      <selection pane="bottomLeft" activeCell="J37" sqref="J37"/>
      <selection pane="bottomRight" activeCell="H23" sqref="H23"/>
    </sheetView>
  </sheetViews>
  <sheetFormatPr defaultRowHeight="15"/>
  <cols>
    <col min="1" max="1" width="21.28515625" style="24" customWidth="1"/>
    <col min="2" max="2" width="6.42578125" bestFit="1" customWidth="1"/>
    <col min="3" max="3" width="11.140625" style="15" bestFit="1" customWidth="1"/>
    <col min="4" max="4" width="10.140625" bestFit="1" customWidth="1"/>
    <col min="5" max="5" width="20.140625" bestFit="1" customWidth="1"/>
    <col min="6" max="6" width="9" bestFit="1" customWidth="1"/>
    <col min="7" max="7" width="11.85546875" bestFit="1" customWidth="1"/>
    <col min="8" max="8" width="29.28515625" bestFit="1" customWidth="1"/>
    <col min="9" max="9" width="22.42578125" bestFit="1" customWidth="1"/>
    <col min="10" max="10" width="19.5703125" bestFit="1" customWidth="1"/>
    <col min="11" max="11" width="22.7109375" bestFit="1" customWidth="1"/>
    <col min="12" max="12" width="15.85546875" customWidth="1"/>
    <col min="13" max="13" width="7.42578125" customWidth="1"/>
  </cols>
  <sheetData>
    <row r="1" spans="1:13" ht="74.25" hidden="1" customHeight="1">
      <c r="A1" s="16"/>
    </row>
    <row r="2" spans="1:13" s="5" customFormat="1" ht="29.25" customHeight="1" thickBot="1">
      <c r="A2" s="24"/>
      <c r="B2" s="79" t="s">
        <v>333</v>
      </c>
      <c r="C2" s="79"/>
      <c r="D2" s="79"/>
      <c r="E2" s="79"/>
      <c r="F2" s="79"/>
      <c r="G2" s="79"/>
    </row>
    <row r="3" spans="1:13" s="4" customFormat="1" ht="9" customHeight="1" thickTop="1">
      <c r="A3" s="24"/>
      <c r="C3" s="22"/>
    </row>
    <row r="4" spans="1:13" s="13" customFormat="1" ht="15" customHeight="1">
      <c r="A4" s="24"/>
      <c r="B4" s="20" t="s">
        <v>11</v>
      </c>
      <c r="C4" s="19" t="s">
        <v>1</v>
      </c>
      <c r="D4" s="19" t="s">
        <v>0</v>
      </c>
      <c r="E4" s="19" t="s">
        <v>334</v>
      </c>
      <c r="F4" s="19" t="s">
        <v>283</v>
      </c>
      <c r="G4" s="19" t="s">
        <v>335</v>
      </c>
      <c r="H4" s="19" t="s">
        <v>373</v>
      </c>
      <c r="I4" s="19" t="s">
        <v>337</v>
      </c>
      <c r="J4" s="19" t="s">
        <v>338</v>
      </c>
      <c r="K4" s="19" t="s">
        <v>339</v>
      </c>
      <c r="L4" s="19" t="s">
        <v>2</v>
      </c>
      <c r="M4" s="19" t="s">
        <v>18</v>
      </c>
    </row>
    <row r="5" spans="1:13">
      <c r="A5" s="25"/>
      <c r="B5" s="28">
        <f>IF(OutflowConstraints[[#This Row],[Active]]=TRUE,1,0)</f>
        <v>1</v>
      </c>
      <c r="C5" s="29" t="b">
        <v>1</v>
      </c>
      <c r="D5" s="32" t="s">
        <v>362</v>
      </c>
      <c r="E5" s="32" t="s">
        <v>363</v>
      </c>
      <c r="F5" t="s">
        <v>151</v>
      </c>
      <c r="G5" s="29" t="s">
        <v>342</v>
      </c>
      <c r="H5" s="29" t="b">
        <v>1</v>
      </c>
      <c r="I5">
        <v>820</v>
      </c>
      <c r="J5" s="29" t="b">
        <v>1</v>
      </c>
      <c r="K5">
        <v>841</v>
      </c>
      <c r="L5" s="38">
        <v>1</v>
      </c>
      <c r="M5" s="38">
        <v>48</v>
      </c>
    </row>
    <row r="6" spans="1:13">
      <c r="B6" s="42">
        <f>IF(OutflowConstraints[[#This Row],[Active]]=TRUE,1,0)</f>
        <v>1</v>
      </c>
      <c r="C6" s="44" t="b">
        <v>1</v>
      </c>
      <c r="D6" s="45" t="s">
        <v>364</v>
      </c>
      <c r="E6" s="45" t="s">
        <v>293</v>
      </c>
      <c r="F6" t="s">
        <v>151</v>
      </c>
      <c r="G6" s="27" t="s">
        <v>342</v>
      </c>
      <c r="H6" s="44" t="b">
        <v>0</v>
      </c>
      <c r="I6">
        <v>0</v>
      </c>
      <c r="J6" s="44" t="b">
        <v>1</v>
      </c>
      <c r="K6">
        <v>95</v>
      </c>
      <c r="L6" s="47">
        <v>1</v>
      </c>
      <c r="M6" s="47">
        <v>49</v>
      </c>
    </row>
    <row r="7" spans="1:13">
      <c r="B7" s="42">
        <f>IF(OutflowConstraints[[#This Row],[Active]]=TRUE,1,0)</f>
        <v>1</v>
      </c>
      <c r="C7" s="44" t="b">
        <v>1</v>
      </c>
      <c r="D7" s="45" t="s">
        <v>365</v>
      </c>
      <c r="E7" s="45" t="s">
        <v>366</v>
      </c>
      <c r="F7" t="s">
        <v>151</v>
      </c>
      <c r="G7" s="27" t="s">
        <v>342</v>
      </c>
      <c r="H7" s="44" t="b">
        <v>1</v>
      </c>
      <c r="I7">
        <v>0</v>
      </c>
      <c r="J7" s="44" t="b">
        <v>0</v>
      </c>
      <c r="K7">
        <v>1000001</v>
      </c>
      <c r="L7" s="47">
        <v>1</v>
      </c>
      <c r="M7" s="47">
        <v>50</v>
      </c>
    </row>
    <row r="8" spans="1:13" ht="14.25" customHeight="1">
      <c r="B8" s="42">
        <f>IF(OutflowConstraints[[#This Row],[Active]]=TRUE,1,0)</f>
        <v>1</v>
      </c>
      <c r="C8" s="44" t="b">
        <v>1</v>
      </c>
      <c r="D8" s="45" t="s">
        <v>367</v>
      </c>
      <c r="E8" s="45" t="s">
        <v>368</v>
      </c>
      <c r="F8" t="s">
        <v>151</v>
      </c>
      <c r="G8" s="27" t="s">
        <v>342</v>
      </c>
      <c r="H8" s="44" t="b">
        <v>1</v>
      </c>
      <c r="I8">
        <v>1</v>
      </c>
      <c r="J8" s="44" t="b">
        <v>1</v>
      </c>
      <c r="K8">
        <v>1.51</v>
      </c>
      <c r="L8" s="47">
        <v>1</v>
      </c>
      <c r="M8" s="47">
        <v>51</v>
      </c>
    </row>
    <row r="9" spans="1:13">
      <c r="B9" s="42">
        <f>IF(OutflowConstraints[[#This Row],[Active]]=TRUE,1,0)</f>
        <v>1</v>
      </c>
      <c r="C9" s="44" t="b">
        <v>1</v>
      </c>
      <c r="D9" s="45" t="s">
        <v>369</v>
      </c>
      <c r="E9" s="45" t="s">
        <v>370</v>
      </c>
      <c r="F9" t="s">
        <v>151</v>
      </c>
      <c r="G9" s="27" t="s">
        <v>342</v>
      </c>
      <c r="H9" s="44" t="b">
        <v>0</v>
      </c>
      <c r="I9">
        <v>0</v>
      </c>
      <c r="J9" s="44" t="b">
        <v>1</v>
      </c>
      <c r="K9">
        <v>120001</v>
      </c>
      <c r="L9" s="47">
        <v>1</v>
      </c>
      <c r="M9" s="47">
        <v>52</v>
      </c>
    </row>
  </sheetData>
  <dataConsolidate/>
  <conditionalFormatting sqref="B5:E9 G5:G9 L5:M9">
    <cfRule type="expression" dxfId="58" priority="16">
      <formula>$C5 = FALSE</formula>
    </cfRule>
  </conditionalFormatting>
  <conditionalFormatting sqref="G5:G9 C5:C9">
    <cfRule type="containsText" dxfId="57" priority="17" operator="containsText" text="TRUE">
      <formula>NOT(ISERROR(SEARCH("TRUE",C5)))</formula>
    </cfRule>
    <cfRule type="containsText" dxfId="56" priority="18" operator="containsText" text="FALSE">
      <formula>NOT(ISERROR(SEARCH("FALSE",C5)))</formula>
    </cfRule>
  </conditionalFormatting>
  <conditionalFormatting sqref="H5:H9">
    <cfRule type="expression" dxfId="55" priority="4">
      <formula>$C5 = FALSE</formula>
    </cfRule>
  </conditionalFormatting>
  <conditionalFormatting sqref="H5:H9">
    <cfRule type="containsText" dxfId="54" priority="5" operator="containsText" text="TRUE">
      <formula>NOT(ISERROR(SEARCH("TRUE",H5)))</formula>
    </cfRule>
    <cfRule type="containsText" dxfId="53" priority="6" operator="containsText" text="FALSE">
      <formula>NOT(ISERROR(SEARCH("FALSE",H5)))</formula>
    </cfRule>
  </conditionalFormatting>
  <conditionalFormatting sqref="J5:J9">
    <cfRule type="expression" dxfId="52" priority="1">
      <formula>$C5 = FALSE</formula>
    </cfRule>
  </conditionalFormatting>
  <conditionalFormatting sqref="J5:J9">
    <cfRule type="containsText" dxfId="51" priority="2" operator="containsText" text="TRUE">
      <formula>NOT(ISERROR(SEARCH("TRUE",J5)))</formula>
    </cfRule>
    <cfRule type="containsText" dxfId="50" priority="3" operator="containsText" text="FALSE">
      <formula>NOT(ISERROR(SEARCH("FALSE",J5)))</formula>
    </cfRule>
  </conditionalFormatting>
  <dataValidations count="4">
    <dataValidation type="list" allowBlank="1" showInputMessage="1" showErrorMessage="1" sqref="C5:C9 H5:H9 J5:J9">
      <formula1>"TRUE, FALSE"</formula1>
    </dataValidation>
    <dataValidation type="list" allowBlank="1" showInputMessage="1" showErrorMessage="1" sqref="E5:E9">
      <formula1>"DENSITY, FLOW, REVENUE, SULFUR, TVP"</formula1>
    </dataValidation>
    <dataValidation type="list" allowBlank="1" showInputMessage="1" showErrorMessage="1" sqref="F5:F9">
      <formula1>INDIRECT("Sites[Code]")</formula1>
    </dataValidation>
    <dataValidation type="list" allowBlank="1" showInputMessage="1" showErrorMessage="1" sqref="G5:G9">
      <formula1>INDIRECT("Streams[Code]")</formula1>
    </dataValidation>
  </dataValidations>
  <pageMargins left="0.7" right="0.7" top="0.75" bottom="0.75" header="0.3" footer="0.3"/>
  <pageSetup scale="48"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2531" id="{EE474D11-154B-4559-A975-390E3AD870F2}">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B5:B9</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H8"/>
  <sheetViews>
    <sheetView showGridLines="0" topLeftCell="A2" zoomScaleNormal="100" workbookViewId="0">
      <pane xSplit="1" ySplit="3" topLeftCell="B5" activePane="bottomRight" state="frozen"/>
      <selection activeCell="J37" sqref="J37"/>
      <selection pane="topRight" activeCell="J37" sqref="J37"/>
      <selection pane="bottomLeft" activeCell="J37" sqref="J37"/>
      <selection pane="bottomRight" activeCell="D2" sqref="D2"/>
    </sheetView>
  </sheetViews>
  <sheetFormatPr defaultRowHeight="15"/>
  <cols>
    <col min="1" max="1" width="21.28515625" style="24" customWidth="1"/>
    <col min="2" max="2" width="6.42578125" customWidth="1"/>
    <col min="3" max="3" width="11.140625" style="15" customWidth="1"/>
    <col min="4" max="5" width="26.140625" customWidth="1"/>
    <col min="6" max="6" width="15.85546875" customWidth="1"/>
    <col min="7" max="7" width="7.42578125" customWidth="1"/>
  </cols>
  <sheetData>
    <row r="1" spans="1:8" ht="74.25" hidden="1" customHeight="1">
      <c r="A1" s="16"/>
    </row>
    <row r="2" spans="1:8" s="5" customFormat="1" ht="29.25" customHeight="1" thickBot="1">
      <c r="A2" s="24"/>
      <c r="B2" s="79" t="s">
        <v>371</v>
      </c>
      <c r="C2" s="79"/>
      <c r="D2" s="79"/>
      <c r="E2" s="26"/>
    </row>
    <row r="3" spans="1:8" s="4" customFormat="1" ht="9" customHeight="1" thickTop="1">
      <c r="A3" s="24"/>
      <c r="C3" s="22"/>
    </row>
    <row r="4" spans="1:8" s="13" customFormat="1" ht="15" customHeight="1">
      <c r="A4" s="24"/>
      <c r="B4" s="20" t="s">
        <v>11</v>
      </c>
      <c r="C4" s="19" t="s">
        <v>1</v>
      </c>
      <c r="D4" s="19" t="s">
        <v>0</v>
      </c>
      <c r="E4" s="19" t="s">
        <v>335</v>
      </c>
      <c r="F4" s="19" t="s">
        <v>4</v>
      </c>
      <c r="G4" s="19" t="s">
        <v>2</v>
      </c>
      <c r="H4" s="19" t="s">
        <v>18</v>
      </c>
    </row>
    <row r="5" spans="1:8">
      <c r="A5" s="25"/>
      <c r="B5" s="28">
        <f>IF(Stream2Experiment[[#This Row],[Active]]=TRUE,1,0)</f>
        <v>1</v>
      </c>
      <c r="C5" s="29" t="b">
        <v>1</v>
      </c>
      <c r="D5" t="s">
        <v>342</v>
      </c>
      <c r="F5" s="29"/>
      <c r="G5" s="38">
        <v>1</v>
      </c>
      <c r="H5" s="38">
        <v>8</v>
      </c>
    </row>
    <row r="8" spans="1:8" ht="14.25" customHeight="1"/>
  </sheetData>
  <dataConsolidate/>
  <conditionalFormatting sqref="F5:H5 B5:C5">
    <cfRule type="expression" dxfId="36" priority="1">
      <formula>$C5 = FALSE</formula>
    </cfRule>
  </conditionalFormatting>
  <conditionalFormatting sqref="F5 C5">
    <cfRule type="containsText" dxfId="35" priority="2" operator="containsText" text="TRUE">
      <formula>NOT(ISERROR(SEARCH("TRUE",C5)))</formula>
    </cfRule>
    <cfRule type="containsText" dxfId="34" priority="3" operator="containsText" text="FALSE">
      <formula>NOT(ISERROR(SEARCH("FALSE",C5)))</formula>
    </cfRule>
  </conditionalFormatting>
  <dataValidations count="2">
    <dataValidation type="list" allowBlank="1" showInputMessage="1" showErrorMessage="1" sqref="E5">
      <formula1>INDIRECT("Streams[Code]")</formula1>
    </dataValidation>
    <dataValidation type="list" allowBlank="1" showInputMessage="1" showErrorMessage="1" sqref="C5">
      <formula1>"TRUE, FALSE"</formula1>
    </dataValidation>
  </dataValidations>
  <pageMargins left="0.7" right="0.7" top="0.75" bottom="0.75" header="0.3" footer="0.3"/>
  <pageSetup scale="88"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2456" id="{64ACEDAE-1CFC-4043-9A29-AB98AC6D2E39}">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pageSetUpPr fitToPage="1"/>
  </sheetPr>
  <dimension ref="A1:L8"/>
  <sheetViews>
    <sheetView showGridLines="0" topLeftCell="A2" zoomScaleNormal="100" workbookViewId="0">
      <pane xSplit="1" ySplit="3" topLeftCell="B5" activePane="bottomRight" state="frozen"/>
      <selection activeCell="J37" sqref="J37"/>
      <selection pane="topRight" activeCell="J37" sqref="J37"/>
      <selection pane="bottomLeft" activeCell="J37" sqref="J37"/>
      <selection pane="bottomRight" activeCell="B2" sqref="B2"/>
    </sheetView>
  </sheetViews>
  <sheetFormatPr defaultRowHeight="15"/>
  <cols>
    <col min="1" max="1" width="21.28515625" style="24" customWidth="1"/>
    <col min="2" max="2" width="6.42578125" bestFit="1" customWidth="1"/>
    <col min="3" max="3" width="11.140625" style="15" bestFit="1" customWidth="1"/>
    <col min="4" max="4" width="10.140625" bestFit="1" customWidth="1"/>
    <col min="5" max="5" width="9" bestFit="1" customWidth="1"/>
    <col min="6" max="6" width="19.5703125" bestFit="1" customWidth="1"/>
    <col min="7" max="7" width="19.28515625" bestFit="1" customWidth="1"/>
    <col min="8" max="8" width="22.42578125" bestFit="1" customWidth="1"/>
    <col min="9" max="9" width="19.5703125" bestFit="1" customWidth="1"/>
    <col min="10" max="10" width="22.7109375" bestFit="1" customWidth="1"/>
    <col min="11" max="11" width="15.85546875" bestFit="1" customWidth="1"/>
    <col min="12" max="12" width="7.42578125" bestFit="1" customWidth="1"/>
  </cols>
  <sheetData>
    <row r="1" spans="1:12" ht="74.25" hidden="1" customHeight="1">
      <c r="A1" s="16"/>
    </row>
    <row r="2" spans="1:12" s="5" customFormat="1" ht="29.25" customHeight="1" thickBot="1">
      <c r="A2" s="24"/>
      <c r="B2" s="79" t="s">
        <v>372</v>
      </c>
      <c r="C2" s="79"/>
      <c r="D2" s="79"/>
      <c r="E2" s="26"/>
    </row>
    <row r="3" spans="1:12" s="4" customFormat="1" ht="9" customHeight="1" thickTop="1">
      <c r="A3" s="24"/>
      <c r="C3" s="22"/>
    </row>
    <row r="4" spans="1:12" s="13" customFormat="1" ht="15" customHeight="1">
      <c r="A4" s="24"/>
      <c r="B4" s="20" t="s">
        <v>11</v>
      </c>
      <c r="C4" s="19" t="s">
        <v>1</v>
      </c>
      <c r="D4" s="19" t="s">
        <v>0</v>
      </c>
      <c r="E4" s="19" t="s">
        <v>283</v>
      </c>
      <c r="F4" s="19" t="s">
        <v>334</v>
      </c>
      <c r="G4" s="19" t="s">
        <v>336</v>
      </c>
      <c r="H4" s="19" t="s">
        <v>337</v>
      </c>
      <c r="I4" s="19" t="s">
        <v>338</v>
      </c>
      <c r="J4" s="19" t="s">
        <v>339</v>
      </c>
      <c r="K4" s="19" t="s">
        <v>2</v>
      </c>
      <c r="L4" s="19" t="s">
        <v>18</v>
      </c>
    </row>
    <row r="5" spans="1:12">
      <c r="A5" s="25"/>
      <c r="B5" s="28">
        <f>IF(TotalInflowConstraints[[#This Row],[Active]]=TRUE,1,0)</f>
        <v>1</v>
      </c>
      <c r="C5" s="29" t="b">
        <v>1</v>
      </c>
      <c r="D5" t="s">
        <v>342</v>
      </c>
      <c r="G5" s="29"/>
      <c r="I5" s="29"/>
      <c r="K5" s="38">
        <v>1</v>
      </c>
      <c r="L5" s="38">
        <v>8</v>
      </c>
    </row>
    <row r="8" spans="1:12" ht="14.25" customHeight="1"/>
  </sheetData>
  <dataConsolidate/>
  <conditionalFormatting sqref="B5:C5 K5:L5">
    <cfRule type="expression" dxfId="23" priority="7">
      <formula>$C5 = FALSE</formula>
    </cfRule>
  </conditionalFormatting>
  <conditionalFormatting sqref="C5">
    <cfRule type="containsText" dxfId="22" priority="8" operator="containsText" text="TRUE">
      <formula>NOT(ISERROR(SEARCH("TRUE",C5)))</formula>
    </cfRule>
    <cfRule type="containsText" dxfId="21" priority="9" operator="containsText" text="FALSE">
      <formula>NOT(ISERROR(SEARCH("FALSE",C5)))</formula>
    </cfRule>
  </conditionalFormatting>
  <conditionalFormatting sqref="G5">
    <cfRule type="expression" dxfId="20" priority="4">
      <formula>$C5 = FALSE</formula>
    </cfRule>
  </conditionalFormatting>
  <conditionalFormatting sqref="G5">
    <cfRule type="containsText" dxfId="19" priority="5" operator="containsText" text="TRUE">
      <formula>NOT(ISERROR(SEARCH("TRUE",G5)))</formula>
    </cfRule>
    <cfRule type="containsText" dxfId="18" priority="6" operator="containsText" text="FALSE">
      <formula>NOT(ISERROR(SEARCH("FALSE",G5)))</formula>
    </cfRule>
  </conditionalFormatting>
  <conditionalFormatting sqref="I5">
    <cfRule type="expression" dxfId="17" priority="1">
      <formula>$C5 = FALSE</formula>
    </cfRule>
  </conditionalFormatting>
  <conditionalFormatting sqref="I5">
    <cfRule type="containsText" dxfId="16" priority="2" operator="containsText" text="TRUE">
      <formula>NOT(ISERROR(SEARCH("TRUE",I5)))</formula>
    </cfRule>
    <cfRule type="containsText" dxfId="15" priority="3" operator="containsText" text="FALSE">
      <formula>NOT(ISERROR(SEARCH("FALSE",I5)))</formula>
    </cfRule>
  </conditionalFormatting>
  <dataValidations count="4">
    <dataValidation type="list" allowBlank="1" showInputMessage="1" showErrorMessage="1" sqref="C5 I5">
      <formula1>"TRUE, FALSE"</formula1>
    </dataValidation>
    <dataValidation type="list" allowBlank="1" showInputMessage="1" showErrorMessage="1" sqref="F5">
      <formula1>"FLOW, DENSITY, SULFUR, REVENUE, TVP"</formula1>
    </dataValidation>
    <dataValidation type="list" allowBlank="1" showInputMessage="1" showErrorMessage="1" sqref="E5">
      <formula1>INDIRECT("Sites[Code]")</formula1>
    </dataValidation>
    <dataValidation type="list" allowBlank="1" showInputMessage="1" showErrorMessage="1" sqref="G5">
      <formula1>"TRUE, FALSE"</formula1>
    </dataValidation>
  </dataValidations>
  <pageMargins left="0.7" right="0.7" top="0.75" bottom="0.75" header="0.3" footer="0.3"/>
  <pageSetup scale="55"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0" id="{FD3CB997-567A-488C-A7CB-D2470EECD981}">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pageSetUpPr fitToPage="1"/>
  </sheetPr>
  <dimension ref="A1:N27"/>
  <sheetViews>
    <sheetView zoomScaleNormal="100" workbookViewId="0">
      <pane ySplit="1" topLeftCell="A2" activePane="bottomLeft" state="frozen"/>
      <selection activeCell="G25" sqref="G25"/>
      <selection pane="bottomLeft" activeCell="I29" sqref="I29"/>
    </sheetView>
  </sheetViews>
  <sheetFormatPr defaultRowHeight="15"/>
  <cols>
    <col min="1" max="1" width="6.140625" style="10" customWidth="1"/>
    <col min="2" max="2" width="14" bestFit="1" customWidth="1"/>
    <col min="3" max="3" width="29.5703125" bestFit="1" customWidth="1"/>
    <col min="4" max="4" width="9.5703125" customWidth="1"/>
    <col min="5" max="5" width="8.85546875" style="14" bestFit="1" customWidth="1"/>
    <col min="6" max="6" width="7.85546875" bestFit="1" customWidth="1"/>
    <col min="7" max="7" width="12.42578125" bestFit="1" customWidth="1"/>
    <col min="8" max="8" width="6.85546875" bestFit="1" customWidth="1"/>
    <col min="9" max="9" width="10.42578125" bestFit="1" customWidth="1"/>
    <col min="10" max="10" width="10.7109375" bestFit="1" customWidth="1"/>
    <col min="11" max="11" width="13.5703125" customWidth="1"/>
    <col min="12" max="12" width="13.5703125" bestFit="1" customWidth="1"/>
    <col min="13" max="13" width="12.85546875" bestFit="1" customWidth="1"/>
    <col min="14" max="14" width="5.140625" bestFit="1" customWidth="1"/>
    <col min="15" max="15" width="9.7109375" customWidth="1"/>
  </cols>
  <sheetData>
    <row r="1" spans="1:14" s="5" customFormat="1" ht="29.25" customHeight="1" thickBot="1">
      <c r="B1" s="81" t="s">
        <v>16</v>
      </c>
      <c r="C1" s="81"/>
      <c r="D1" s="81"/>
      <c r="E1" s="81"/>
      <c r="F1" s="81"/>
    </row>
    <row r="2" spans="1:14" s="4" customFormat="1" ht="15.75" thickTop="1">
      <c r="B2" s="78" t="s">
        <v>15</v>
      </c>
      <c r="E2" s="78" t="s">
        <v>360</v>
      </c>
    </row>
    <row r="3" spans="1:14" s="13" customFormat="1" ht="15" customHeight="1">
      <c r="A3" s="12"/>
      <c r="B3" s="18" t="s">
        <v>6</v>
      </c>
      <c r="C3" s="18" t="s">
        <v>7</v>
      </c>
      <c r="E3" s="18" t="s">
        <v>1</v>
      </c>
      <c r="F3" s="18" t="s">
        <v>0</v>
      </c>
      <c r="G3" s="18" t="s">
        <v>3</v>
      </c>
      <c r="H3" s="18" t="s">
        <v>349</v>
      </c>
      <c r="I3" s="18" t="s">
        <v>350</v>
      </c>
      <c r="J3" s="18" t="s">
        <v>351</v>
      </c>
      <c r="K3" s="18" t="s">
        <v>352</v>
      </c>
      <c r="L3" s="18" t="s">
        <v>353</v>
      </c>
      <c r="M3" s="18" t="s">
        <v>4</v>
      </c>
      <c r="N3" s="18" t="s">
        <v>18</v>
      </c>
    </row>
    <row r="4" spans="1:14" ht="15" customHeight="1">
      <c r="B4" t="s">
        <v>8</v>
      </c>
      <c r="C4" t="s">
        <v>20</v>
      </c>
      <c r="E4" t="b">
        <v>1</v>
      </c>
      <c r="F4" t="s">
        <v>354</v>
      </c>
      <c r="G4" t="s">
        <v>355</v>
      </c>
      <c r="H4">
        <v>50000</v>
      </c>
      <c r="K4">
        <v>1</v>
      </c>
      <c r="L4" t="s">
        <v>356</v>
      </c>
      <c r="N4">
        <v>1</v>
      </c>
    </row>
    <row r="5" spans="1:14" ht="15" customHeight="1">
      <c r="B5" t="s">
        <v>9</v>
      </c>
      <c r="C5" t="s">
        <v>19</v>
      </c>
      <c r="E5" s="14" t="b">
        <v>1</v>
      </c>
      <c r="F5" t="s">
        <v>328</v>
      </c>
      <c r="G5" t="s">
        <v>357</v>
      </c>
      <c r="H5">
        <v>35</v>
      </c>
      <c r="K5">
        <v>1</v>
      </c>
      <c r="L5" t="s">
        <v>356</v>
      </c>
      <c r="N5">
        <v>2</v>
      </c>
    </row>
    <row r="6" spans="1:14" ht="15" customHeight="1">
      <c r="B6" t="s">
        <v>12</v>
      </c>
      <c r="C6" t="s">
        <v>14</v>
      </c>
      <c r="E6" s="14" t="b">
        <v>1</v>
      </c>
      <c r="F6" t="s">
        <v>329</v>
      </c>
      <c r="G6" t="s">
        <v>358</v>
      </c>
      <c r="H6">
        <v>80000</v>
      </c>
      <c r="K6">
        <v>1</v>
      </c>
      <c r="L6" t="s">
        <v>356</v>
      </c>
      <c r="N6">
        <v>3</v>
      </c>
    </row>
    <row r="7" spans="1:14" ht="15" customHeight="1">
      <c r="B7" t="s">
        <v>13</v>
      </c>
      <c r="E7" s="14" t="b">
        <v>1</v>
      </c>
      <c r="F7" t="s">
        <v>331</v>
      </c>
      <c r="G7" t="s">
        <v>359</v>
      </c>
      <c r="H7">
        <v>35</v>
      </c>
      <c r="K7">
        <v>1</v>
      </c>
      <c r="L7" t="s">
        <v>356</v>
      </c>
      <c r="N7">
        <v>4</v>
      </c>
    </row>
    <row r="8" spans="1:14" ht="15" customHeight="1"/>
    <row r="9" spans="1:14" ht="15" customHeight="1"/>
    <row r="10" spans="1:14" ht="15" customHeight="1"/>
    <row r="11" spans="1:14" ht="15" customHeight="1"/>
    <row r="12" spans="1:14" ht="15" customHeight="1"/>
    <row r="13" spans="1:14" ht="15" customHeight="1"/>
    <row r="14" spans="1:14" ht="15" customHeight="1"/>
    <row r="15" spans="1:14" ht="15" customHeight="1"/>
    <row r="16" spans="1:14" ht="15" customHeight="1"/>
    <row r="17" ht="15" customHeight="1"/>
    <row r="18" ht="15" customHeight="1"/>
    <row r="19" ht="15" customHeight="1"/>
    <row r="20" ht="15" customHeight="1"/>
    <row r="21" ht="15" customHeight="1"/>
    <row r="22" ht="15" customHeight="1"/>
    <row r="23" ht="15" customHeight="1"/>
    <row r="24" ht="15" customHeight="1"/>
    <row r="25" ht="15" customHeight="1"/>
    <row r="26" ht="15" customHeight="1"/>
    <row r="27" ht="15" customHeight="1"/>
  </sheetData>
  <dataConsolidate/>
  <mergeCells count="1">
    <mergeCell ref="B1:F1"/>
  </mergeCells>
  <pageMargins left="0.7" right="0.7" top="0.75" bottom="0.75" header="0.3" footer="0.3"/>
  <pageSetup scale="88" fitToHeight="0" orientation="portrait" r:id="rId1"/>
  <tableParts count="2">
    <tablePart r:id="rId2"/>
    <tablePart r:id="rId3"/>
  </tableParts>
</worksheet>
</file>

<file path=customUI/_rels/customUI14.xml.rels><?xml version="1.0" encoding="UTF-8" standalone="yes"?>
<Relationships xmlns="http://schemas.openxmlformats.org/package/2006/relationships"><Relationship Id="STREAM_MC" Type="http://schemas.openxmlformats.org/officeDocument/2006/relationships/image" Target="images/STREAM_MC.gif"/><Relationship Id="STRLogo6" Type="http://schemas.openxmlformats.org/officeDocument/2006/relationships/image" Target="images/STRLogo6.png"/></Relationships>
</file>

<file path=customUI/customUI14.xml><?xml version="1.0" encoding="utf-8"?>
<customUI xmlns="http://schemas.microsoft.com/office/2009/07/customui" onLoad="OnRibbonLoad">
  <ribbon>
    <tabs>
      <tab id="CustomTab" label="Model Admin">
        <group id="Control_Panel" label="Support" autoScale="true">
          <button id="User_Manual" label="Model Guide" imageMso="AddressBook" onAction="UserManualSelection" size="large" supertip="Open Model Guide Document" visible="true"/>
        </group>
        <group id="FunctionPanel" label="Data Management" autoScale="true">
          <menu id="Refresh" label="Refresh" size="large" imageMso="Refresh">
            <button id="Refresh_All" label="Refresh all sheets" onAction="Reload" supertip="Refresh all sheets."/>
            <button id="Refresh_This" label="Refresh this sheet" onAction="Reload" supertip="Refresh this sheet."/>
          </menu>
        </group>
        <group id="Model_Panel" label="Model Panel" autoScale="true">
          <button id="ModelSingleRun" label="Run Simulation" image="STRLogo6" onAction="ModelLaunch" size="large"/>
          <!-- <button id="ModelMonteCarlo" label="Run Monte Carlo" image="STREAM_MC" onAction="ModelLaunch" size="large" /> -->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item1.xml>�� 
</file>

<file path=customXml/item2.xml>�� 
</file>

<file path=customXml/item3.xml>��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5.xml>�� 
</file>

<file path=customXml/item6.xml>�� 
</file>

<file path=customXml/item7.xml><?xml version="1.0" encoding="utf-8"?>
<?mso-contentType ?>
<FormTemplates xmlns="http://schemas.microsoft.com/sharepoint/v3/contenttype/forms">
  <Display>DocumentLibraryForm</Display>
  <Edit>DocumentLibraryForm</Edit>
  <New>DocumentLibraryForm</New>
</FormTemplates>
</file>

<file path=customXml/item8.xml><?xml version="1.0" encoding="utf-8"?>
<ct:contentTypeSchema xmlns:ct="http://schemas.microsoft.com/office/2006/metadata/contentType" xmlns:ma="http://schemas.microsoft.com/office/2006/metadata/properties/metaAttributes" ct:_="" ma:_="" ma:contentTypeName="Document" ma:contentTypeID="0x010100A650672B7921584D882546092852106E" ma:contentTypeVersion="1" ma:contentTypeDescription="Create a new document." ma:contentTypeScope="" ma:versionID="3d6ad98ce592fdb0d945e732de6da425">
  <xsd:schema xmlns:xsd="http://www.w3.org/2001/XMLSchema" xmlns:xs="http://www.w3.org/2001/XMLSchema" xmlns:p="http://schemas.microsoft.com/office/2006/metadata/properties" xmlns:ns3="a8a573e9-1888-436c-b0b5-4345c55255eb" targetNamespace="http://schemas.microsoft.com/office/2006/metadata/properties" ma:root="true" ma:fieldsID="0c40e3f55a3b9fd19ab82430da13d4e5" ns3:_="">
    <xsd:import namespace="a8a573e9-1888-436c-b0b5-4345c55255eb"/>
    <xsd:element name="properties">
      <xsd:complexType>
        <xsd:sequence>
          <xsd:element name="documentManagement">
            <xsd:complexType>
              <xsd:all>
                <xsd:element ref="ns3: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8a573e9-1888-436c-b0b5-4345c55255eb"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DD5B39-36C2-4205-AEBA-9B2D7321473D}">
  <ds:schemaRefs>
    <ds:schemaRef ds:uri="http://gemini/pivotcustomization/SandboxNonEmpty"/>
  </ds:schemaRefs>
</ds:datastoreItem>
</file>

<file path=customXml/itemProps2.xml><?xml version="1.0" encoding="utf-8"?>
<ds:datastoreItem xmlns:ds="http://schemas.openxmlformats.org/officeDocument/2006/customXml" ds:itemID="{68B67B75-9605-41E6-9753-1015017C5B0B}">
  <ds:schemaRefs>
    <ds:schemaRef ds:uri="http://gemini/pivotcustomization/ErrorCache"/>
  </ds:schemaRefs>
</ds:datastoreItem>
</file>

<file path=customXml/itemProps3.xml><?xml version="1.0" encoding="utf-8"?>
<ds:datastoreItem xmlns:ds="http://schemas.openxmlformats.org/officeDocument/2006/customXml" ds:itemID="{0E191DDF-4258-4482-8A5A-1C65976F4AEB}">
  <ds:schemaRefs>
    <ds:schemaRef ds:uri="http://gemini/pivotcustomization/IsSandboxEmbedded"/>
  </ds:schemaRefs>
</ds:datastoreItem>
</file>

<file path=customXml/itemProps4.xml><?xml version="1.0" encoding="utf-8"?>
<ds:datastoreItem xmlns:ds="http://schemas.openxmlformats.org/officeDocument/2006/customXml" ds:itemID="{5F9FDD19-2E04-438C-B723-FF64C3DD2090}">
  <ds:schemaRefs>
    <ds:schemaRef ds:uri="a8a573e9-1888-436c-b0b5-4345c55255eb"/>
    <ds:schemaRef ds:uri="http://schemas.microsoft.com/office/2006/metadata/properties"/>
    <ds:schemaRef ds:uri="http://schemas.openxmlformats.org/package/2006/metadata/core-properties"/>
    <ds:schemaRef ds:uri="http://purl.org/dc/terms/"/>
    <ds:schemaRef ds:uri="http://purl.org/dc/dcmitype/"/>
    <ds:schemaRef ds:uri="http://schemas.microsoft.com/office/2006/documentManagement/types"/>
    <ds:schemaRef ds:uri="http://purl.org/dc/elements/1.1/"/>
    <ds:schemaRef ds:uri="http://schemas.microsoft.com/office/infopath/2007/PartnerControls"/>
    <ds:schemaRef ds:uri="http://www.w3.org/XML/1998/namespace"/>
  </ds:schemaRefs>
</ds:datastoreItem>
</file>

<file path=customXml/itemProps5.xml><?xml version="1.0" encoding="utf-8"?>
<ds:datastoreItem xmlns:ds="http://schemas.openxmlformats.org/officeDocument/2006/customXml" ds:itemID="{FBC72B03-8B55-406C-B6D7-0E0F458ACEAE}">
  <ds:schemaRefs>
    <ds:schemaRef ds:uri="http://gemini/pivotcustomization/RelationshipAutoDetectionEnabled"/>
  </ds:schemaRefs>
</ds:datastoreItem>
</file>

<file path=customXml/itemProps6.xml><?xml version="1.0" encoding="utf-8"?>
<ds:datastoreItem xmlns:ds="http://schemas.openxmlformats.org/officeDocument/2006/customXml" ds:itemID="{A6CC9EFA-4526-4897-89F9-BA714ADA08D9}">
  <ds:schemaRefs>
    <ds:schemaRef ds:uri="http://gemini/pivotcustomization/PowerPivotVersion"/>
  </ds:schemaRefs>
</ds:datastoreItem>
</file>

<file path=customXml/itemProps7.xml><?xml version="1.0" encoding="utf-8"?>
<ds:datastoreItem xmlns:ds="http://schemas.openxmlformats.org/officeDocument/2006/customXml" ds:itemID="{9A0309B3-DFD0-4847-A8E9-88ED0A3A1F15}">
  <ds:schemaRefs>
    <ds:schemaRef ds:uri="http://schemas.microsoft.com/sharepoint/v3/contenttype/forms"/>
  </ds:schemaRefs>
</ds:datastoreItem>
</file>

<file path=customXml/itemProps8.xml><?xml version="1.0" encoding="utf-8"?>
<ds:datastoreItem xmlns:ds="http://schemas.openxmlformats.org/officeDocument/2006/customXml" ds:itemID="{4EFB4806-BFA8-4D80-B607-98B6701C864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8a573e9-1888-436c-b0b5-4345c55255e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12</vt:i4>
      </vt:variant>
    </vt:vector>
  </HeadingPairs>
  <TitlesOfParts>
    <vt:vector size="24" baseType="lpstr">
      <vt:lpstr>Main</vt:lpstr>
      <vt:lpstr>Shippers</vt:lpstr>
      <vt:lpstr>Sites</vt:lpstr>
      <vt:lpstr>Streams</vt:lpstr>
      <vt:lpstr>Product Costs</vt:lpstr>
      <vt:lpstr>Nominations</vt:lpstr>
      <vt:lpstr>Tariff</vt:lpstr>
      <vt:lpstr>Stream Constaints</vt:lpstr>
      <vt:lpstr>Outflow Constraints</vt:lpstr>
      <vt:lpstr>Stream to Experiment</vt:lpstr>
      <vt:lpstr>Total Inflow Constraints</vt:lpstr>
      <vt:lpstr>System Tables</vt:lpstr>
      <vt:lpstr>Main!Print_Area</vt:lpstr>
      <vt:lpstr>Nominations!Print_Area</vt:lpstr>
      <vt:lpstr>'Outflow Constraints'!Print_Area</vt:lpstr>
      <vt:lpstr>'Product Costs'!Print_Area</vt:lpstr>
      <vt:lpstr>Shippers!Print_Area</vt:lpstr>
      <vt:lpstr>Sites!Print_Area</vt:lpstr>
      <vt:lpstr>'Stream Constaints'!Print_Area</vt:lpstr>
      <vt:lpstr>'Stream to Experiment'!Print_Area</vt:lpstr>
      <vt:lpstr>Streams!Print_Area</vt:lpstr>
      <vt:lpstr>'System Tables'!Print_Area</vt:lpstr>
      <vt:lpstr>Tariff!Print_Area</vt:lpstr>
      <vt:lpstr>'Total Inflow Constraints'!Print_Area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Thomas Xi</dc:creator>
  <cp:lastModifiedBy>Thomas Xi</cp:lastModifiedBy>
  <cp:lastPrinted>2017-02-13T18:26:36Z</cp:lastPrinted>
  <dcterms:created xsi:type="dcterms:W3CDTF">2014-09-24T19:42:54Z</dcterms:created>
  <dcterms:modified xsi:type="dcterms:W3CDTF">2017-06-05T20:35:09Z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sMyDocuments">
    <vt:bool>true</vt:bool>
  </property>
  <property fmtid="{D5CDD505-2E9C-101B-9397-08002B2CF9AE}" pid="3" name="ContentTypeId">
    <vt:lpwstr>0x010100A650672B7921584D882546092852106E</vt:lpwstr>
  </property>
</Properties>
</file>