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xr2:uid="{00000000-000D-0000-FFFF-FFFF00000000}"/>
  </bookViews>
  <sheets>
    <sheet name="Main" sheetId="14" r:id="rId1"/>
    <sheet name="Optimization Objective" sheetId="48" r:id="rId2"/>
    <sheet name="Commodities" sheetId="49" r:id="rId3"/>
    <sheet name="Shippers" sheetId="37" r:id="rId4"/>
    <sheet name="Sites" sheetId="38" r:id="rId5"/>
    <sheet name="Streams" sheetId="45" r:id="rId6"/>
    <sheet name="Stream to Experiment" sheetId="46" r:id="rId7"/>
    <sheet name="Product Costs" sheetId="39" r:id="rId8"/>
    <sheet name="Nominations" sheetId="44" r:id="rId9"/>
    <sheet name="Stream Out Constraints" sheetId="36" r:id="rId10"/>
    <sheet name="Tariff" sheetId="42" r:id="rId11"/>
    <sheet name="Site Out Constraints" sheetId="47" r:id="rId12"/>
    <sheet name="Supply-Stream Out Constraints" sheetId="43" r:id="rId13"/>
    <sheet name="System Tables" sheetId="16" state="hidden" r:id="rId14"/>
    <sheet name="Transport Methods" sheetId="50" state="hidden" r:id="rId15"/>
    <sheet name="Material Types" sheetId="51" state="hidden" r:id="rId16"/>
    <sheet name="Product Types" sheetId="52" state="hidden" r:id="rId17"/>
  </sheets>
  <functionGroups builtInGroupCount="18"/>
  <definedNames>
    <definedName name="_xlnm.Print_Area" localSheetId="2">'Commodities'!$B$4:$N$11</definedName>
    <definedName name="_xlnm.Print_Area" localSheetId="0">Main!$B$8:$R$11</definedName>
    <definedName name="_xlnm.Print_Area" localSheetId="15">'Material Types'!$B$4:$M$20</definedName>
    <definedName name="_xlnm.Print_Area" localSheetId="8">Nominations!$B$4:$AK$11</definedName>
    <definedName name="_xlnm.Print_Area" localSheetId="1">'Optimization Objective'!$B$4:$K$12</definedName>
    <definedName name="_xlnm.Print_Area" localSheetId="7">'Product Costs'!$B$4:$W$11</definedName>
    <definedName name="_xlnm.Print_Area" localSheetId="16">'Product Types'!$B$4:$E$8</definedName>
    <definedName name="_xlnm.Print_Area" localSheetId="3">Shippers!$B$4:$G$13</definedName>
    <definedName name="_xlnm.Print_Area" localSheetId="11">'Site Out Constraints'!$B$4:$M$6</definedName>
    <definedName name="_xlnm.Print_Area" localSheetId="4">Sites!$B$4:$M$23</definedName>
    <definedName name="_xlnm.Print_Area" localSheetId="9">'Stream Out Constraints'!$B$4:$O$11</definedName>
    <definedName name="_xlnm.Print_Area" localSheetId="6">'Stream to Experiment'!$B$4:$H$7</definedName>
    <definedName name="_xlnm.Print_Area" localSheetId="5">Streams!$B$4:$Q$12</definedName>
    <definedName name="_xlnm.Print_Area" localSheetId="12">'Supply-Stream Out Constraints'!$B$4:$AB$17</definedName>
    <definedName name="_xlnm.Print_Area" localSheetId="13">'Product Types'!$B$4:$E$8</definedName>
    <definedName name="_xlnm.Print_Area" localSheetId="10">Tariff!$B$4:$AC$17</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2" i="45" l="1"/>
  <c r="B6" i="47"/>
  <c r="K6" i="47"/>
  <c r="B5" i="47"/>
  <c r="K5" i="47"/>
  <c r="B7" i="46"/>
  <c r="F7" i="46"/>
  <c r="B6" i="46"/>
  <c r="F6" i="46"/>
  <c r="B5" i="46"/>
  <c r="F5" i="46"/>
  <c r="B11" i="36"/>
  <c r="L11" i="36"/>
  <c r="M11" i="36"/>
  <c r="B10" i="36"/>
  <c r="L10" i="36"/>
  <c r="M10" i="36"/>
  <c r="B9" i="36"/>
  <c r="L9" i="36"/>
  <c r="M9" i="36"/>
  <c r="B8" i="36"/>
  <c r="L8" i="36"/>
  <c r="M8" i="36"/>
  <c r="B7" i="36"/>
  <c r="L7" i="36"/>
  <c r="M7" i="36"/>
  <c r="B6" i="36"/>
  <c r="L6" i="36"/>
  <c r="M6" i="36"/>
  <c r="B5" i="36"/>
  <c r="L5" i="36"/>
  <c r="M5" i="36"/>
  <c r="B17" i="43"/>
  <c r="S17" i="43"/>
  <c r="T17" i="43"/>
  <c r="U17" i="43"/>
  <c r="V17" i="43"/>
  <c r="W17" i="43"/>
  <c r="X17" i="43"/>
  <c r="Y17" i="43"/>
  <c r="Z17" i="43"/>
  <c r="B16" i="43"/>
  <c r="S16" i="43"/>
  <c r="T16" i="43"/>
  <c r="U16" i="43"/>
  <c r="V16" i="43"/>
  <c r="W16" i="43"/>
  <c r="X16" i="43"/>
  <c r="Y16" i="43"/>
  <c r="Z16" i="43"/>
  <c r="B15" i="43"/>
  <c r="S15" i="43"/>
  <c r="T15" i="43"/>
  <c r="U15" i="43"/>
  <c r="V15" i="43"/>
  <c r="W15" i="43"/>
  <c r="X15" i="43"/>
  <c r="Y15" i="43"/>
  <c r="Z15" i="43"/>
  <c r="B14" i="43"/>
  <c r="S14" i="43"/>
  <c r="T14" i="43"/>
  <c r="U14" i="43"/>
  <c r="V14" i="43"/>
  <c r="W14" i="43"/>
  <c r="X14" i="43"/>
  <c r="Y14" i="43"/>
  <c r="Z14" i="43"/>
  <c r="B13" i="43"/>
  <c r="S13" i="43"/>
  <c r="T13" i="43"/>
  <c r="U13" i="43"/>
  <c r="V13" i="43"/>
  <c r="W13" i="43"/>
  <c r="X13" i="43"/>
  <c r="Y13" i="43"/>
  <c r="Z13" i="43"/>
  <c r="B12" i="43"/>
  <c r="S12" i="43"/>
  <c r="T12" i="43"/>
  <c r="U12" i="43"/>
  <c r="V12" i="43"/>
  <c r="W12" i="43"/>
  <c r="X12" i="43"/>
  <c r="Y12" i="43"/>
  <c r="Z12" i="43"/>
  <c r="B11" i="43"/>
  <c r="S11" i="43"/>
  <c r="T11" i="43"/>
  <c r="U11" i="43"/>
  <c r="V11" i="43"/>
  <c r="W11" i="43"/>
  <c r="X11" i="43"/>
  <c r="Y11" i="43"/>
  <c r="Z11" i="43"/>
  <c r="B10" i="43"/>
  <c r="S10" i="43"/>
  <c r="T10" i="43"/>
  <c r="U10" i="43"/>
  <c r="V10" i="43"/>
  <c r="W10" i="43"/>
  <c r="X10" i="43"/>
  <c r="Y10" i="43"/>
  <c r="Z10" i="43"/>
  <c r="B9" i="43"/>
  <c r="S9" i="43"/>
  <c r="T9" i="43"/>
  <c r="U9" i="43"/>
  <c r="V9" i="43"/>
  <c r="W9" i="43"/>
  <c r="X9" i="43"/>
  <c r="Y9" i="43"/>
  <c r="Z9" i="43"/>
  <c r="B8" i="43"/>
  <c r="S8" i="43"/>
  <c r="T8" i="43"/>
  <c r="U8" i="43"/>
  <c r="V8" i="43"/>
  <c r="W8" i="43"/>
  <c r="X8" i="43"/>
  <c r="Y8" i="43"/>
  <c r="Z8" i="43"/>
  <c r="B7" i="43"/>
  <c r="S7" i="43"/>
  <c r="T7" i="43"/>
  <c r="U7" i="43"/>
  <c r="V7" i="43"/>
  <c r="W7" i="43"/>
  <c r="X7" i="43"/>
  <c r="Y7" i="43"/>
  <c r="Z7" i="43"/>
  <c r="B6" i="43"/>
  <c r="S6" i="43"/>
  <c r="T6" i="43"/>
  <c r="U6" i="43"/>
  <c r="V6" i="43"/>
  <c r="W6" i="43"/>
  <c r="X6" i="43"/>
  <c r="Y6" i="43"/>
  <c r="Z6" i="43"/>
  <c r="B5" i="43"/>
  <c r="S5" i="43"/>
  <c r="T5" i="43"/>
  <c r="U5" i="43"/>
  <c r="V5" i="43"/>
  <c r="W5" i="43"/>
  <c r="X5" i="43"/>
  <c r="Y5" i="43"/>
  <c r="Z5" i="43"/>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11" i="39"/>
  <c r="S11" i="39"/>
  <c r="T11" i="39"/>
  <c r="U11" i="39"/>
  <c r="B10" i="39"/>
  <c r="S10" i="39"/>
  <c r="T10" i="39"/>
  <c r="U10" i="39"/>
  <c r="B9" i="39"/>
  <c r="S9" i="39"/>
  <c r="T9" i="39"/>
  <c r="U9" i="39"/>
  <c r="B8" i="39"/>
  <c r="S8" i="39"/>
  <c r="T8" i="39"/>
  <c r="U8" i="39"/>
  <c r="B7" i="39"/>
  <c r="S7" i="39"/>
  <c r="T7" i="39"/>
  <c r="U7" i="39"/>
  <c r="B6" i="39"/>
  <c r="S6" i="39"/>
  <c r="T6" i="39"/>
  <c r="U6" i="39"/>
  <c r="B5" i="39"/>
  <c r="S5" i="39"/>
  <c r="T5" i="39"/>
  <c r="U5" i="39"/>
  <c r="B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13" i="37"/>
  <c r="B12" i="37"/>
  <c r="B11" i="37"/>
  <c r="B10" i="37"/>
  <c r="B9" i="37"/>
  <c r="B8" i="37"/>
  <c r="B7" i="37"/>
  <c r="B6" i="37"/>
  <c r="B5" i="37"/>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1" i="14"/>
  <c r="B10" i="14"/>
  <c r="B9" i="14"/>
</calcChain>
</file>

<file path=xl/sharedStrings.xml><?xml version="1.0" encoding="utf-8"?>
<sst xmlns="http://schemas.openxmlformats.org/spreadsheetml/2006/main" count="823" uniqueCount="342">
  <si>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</si>
  <si>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</si>
  <si>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</si>
  <si>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</si>
  <si>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</si>
  <si>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</si>
  <si>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</si>
  <si>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</si>
  <si>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</si>
  <si>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</si>
  <si>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</si>
  <si>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</si>
  <si>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</si>
  <si>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</si>
  <si>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</si>
  <si>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</si>
  <si>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</si>
  <si>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</si>
  <si>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DataSource.accdb</t>
  </si>
  <si>
    <t>Currency</t>
  </si>
  <si>
    <t>EXPERIMENT MANAGEMENT</t>
  </si>
  <si>
    <t>CAN</t>
  </si>
  <si>
    <t>Order</t>
  </si>
  <si>
    <t>Auto Stop</t>
  </si>
  <si>
    <t>Iterations</t>
  </si>
  <si>
    <t>Maximum Run Duration</t>
  </si>
  <si>
    <t>Exchange Rate</t>
  </si>
  <si>
    <t>Year</t>
  </si>
  <si>
    <t>Month</t>
  </si>
  <si>
    <t>Factor (Barrel)</t>
  </si>
  <si>
    <t>Shippers</t>
  </si>
  <si>
    <t>Canada_Capital</t>
  </si>
  <si>
    <t>Canada Capital</t>
  </si>
  <si>
    <t>NGL</t>
  </si>
  <si>
    <t>NAL</t>
  </si>
  <si>
    <t>Crescent Point</t>
  </si>
  <si>
    <t>Pembina_Pipeline_Corporation</t>
  </si>
  <si>
    <t>Sites</t>
  </si>
  <si>
    <t>Shipper</t>
  </si>
  <si>
    <t>X</t>
  </si>
  <si>
    <t>Y</t>
  </si>
  <si>
    <t>Z</t>
  </si>
  <si>
    <t>Address</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</si>
  <si>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</si>
  <si>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</si>
  <si>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</si>
  <si>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</si>
  <si>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</si>
  <si>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</si>
  <si>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</si>
  <si>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</si>
  <si>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</si>
  <si>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</si>
  <si>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</si>
  <si>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</si>
  <si>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</si>
  <si>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</si>
  <si>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</si>
  <si>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</si>
  <si>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</si>
  <si>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</si>
  <si>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</si>
  <si>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</si>
  <si>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</si>
  <si>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</si>
  <si>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</si>
  <si>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</si>
  <si>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</si>
  <si>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</si>
  <si>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</si>
  <si>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</si>
  <si>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</si>
  <si>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</si>
  <si>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</si>
  <si>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</si>
  <si>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</si>
  <si>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</si>
  <si>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</si>
  <si>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</si>
  <si>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</si>
  <si>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</si>
  <si>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</si>
  <si>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</si>
  <si>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</si>
  <si>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</si>
  <si>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</si>
  <si>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</si>
  <si>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</si>
  <si>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</si>
  <si>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</si>
  <si>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</si>
  <si>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</si>
  <si>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</si>
  <si>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</si>
  <si>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</si>
  <si>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</si>
  <si>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</si>
  <si>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</si>
  <si>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</si>
  <si>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</si>
  <si>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</si>
  <si>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</si>
  <si>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</si>
  <si>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Streams</t>
  </si>
  <si>
    <t>Size</t>
  </si>
  <si>
    <t>MinSize</t>
  </si>
  <si>
    <t>MaxSize</t>
  </si>
  <si>
    <t>DefaultStep</t>
  </si>
  <si>
    <t>optVarType</t>
  </si>
  <si>
    <t>RAIL</t>
  </si>
  <si>
    <t>Rail</t>
  </si>
  <si>
    <t>DISCRETE</t>
  </si>
  <si>
    <t>Truck</t>
  </si>
  <si>
    <t>Pipeline</t>
  </si>
  <si>
    <t>Butane Truck</t>
  </si>
  <si>
    <t>Transport Methods</t>
  </si>
  <si>
    <t>Stream to Experiment</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</si>
  <si>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</si>
  <si>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</si>
  <si>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</si>
  <si>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</si>
  <si>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</si>
  <si>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</si>
  <si>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</si>
  <si>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</si>
  <si>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</si>
  <si>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</si>
  <si>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</si>
  <si>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</si>
  <si>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</si>
  <si>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</si>
  <si>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</si>
  <si>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</si>
  <si>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</si>
  <si>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</si>
  <si>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</si>
  <si>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</si>
  <si>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</si>
  <si>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</si>
  <si>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</si>
  <si>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</si>
  <si>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</si>
  <si>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</si>
  <si>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</si>
  <si>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</si>
  <si>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</si>
  <si>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</si>
  <si>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</si>
  <si>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</si>
  <si>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</si>
  <si>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</si>
  <si>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</si>
  <si>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</si>
  <si>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</si>
  <si>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</si>
  <si>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</si>
  <si>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</si>
  <si>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</si>
  <si>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</si>
  <si>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</si>
  <si>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DSB</t>
  </si>
  <si>
    <t>DILSYNBIT</t>
  </si>
  <si>
    <t>Color</t>
  </si>
  <si>
    <t>MSW</t>
  </si>
  <si>
    <t>Mixed Sweet</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</si>
  <si>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</si>
  <si>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</si>
  <si>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</si>
  <si>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</si>
  <si>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</si>
  <si>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</si>
  <si>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</si>
  <si>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</si>
  <si>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</si>
  <si>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</si>
  <si>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</si>
  <si>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</si>
  <si>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</si>
  <si>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</si>
  <si>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</si>
  <si>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</si>
  <si>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</si>
  <si>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</si>
  <si>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</si>
  <si>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</si>
  <si>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</si>
  <si>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</si>
  <si>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</si>
  <si>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</si>
  <si>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</si>
  <si>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</si>
  <si>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</si>
  <si>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</si>
  <si>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</si>
  <si>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</si>
  <si>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</si>
  <si>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</si>
  <si>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</si>
  <si>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</si>
  <si>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</si>
  <si>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</si>
  <si>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</si>
  <si>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</si>
  <si>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</si>
  <si>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</si>
  <si>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</si>
  <si>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</si>
  <si>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</si>
  <si>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</si>
  <si>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Exclude Flag Type</t>
  </si>
  <si>
    <t>TOLL</t>
  </si>
  <si>
    <t>pipeline tariff</t>
  </si>
  <si>
    <t>unload cost</t>
  </si>
  <si>
    <t>ALLOWANCE</t>
  </si>
  <si>
    <t>loss allowance</t>
  </si>
  <si>
    <t>TARIFF</t>
  </si>
  <si>
    <t>pipeline tariff for pipe/MSB</t>
  </si>
  <si>
    <t>COST_ADJUSTMENTS</t>
  </si>
  <si>
    <t>Adjustment 0.15 USD/BBL</t>
  </si>
  <si>
    <t>SALES_ADJUSTMENTS</t>
  </si>
  <si>
    <t>Lease vol Alida to Cromer</t>
  </si>
  <si>
    <t>Adjustment 0.11 CAD/m3</t>
  </si>
  <si>
    <t>Mainline Out</t>
  </si>
  <si>
    <t>Total Density</t>
  </si>
  <si>
    <t>DENSITY</t>
  </si>
  <si>
    <t>Total TVP</t>
  </si>
  <si>
    <t>Total Revenue</t>
  </si>
  <si>
    <t>Total Sulfur</t>
  </si>
  <si>
    <t>SULFUR</t>
  </si>
  <si>
    <t>Total Outflow</t>
  </si>
  <si>
    <t>USD</t>
  </si>
  <si>
    <t>BBL</t>
  </si>
  <si>
    <t>P_LSB</t>
  </si>
  <si>
    <t>GAP</t>
  </si>
  <si>
    <t>P_MSB</t>
  </si>
  <si>
    <t>P_C4</t>
  </si>
  <si>
    <t>RELATIVE</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</si>
  <si>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</si>
  <si>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</si>
  <si>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</si>
  <si>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</si>
  <si>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</si>
  <si>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</si>
  <si>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</si>
  <si>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</si>
  <si>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</si>
  <si>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</si>
  <si>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</si>
  <si>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</si>
  <si>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RefCommodityID</t>
  </si>
  <si>
    <t>P_WTI</t>
  </si>
  <si>
    <t>FIXED</t>
  </si>
  <si>
    <t>Site/Facility Constraints</t>
  </si>
  <si>
    <t>Supply to Stream Constraints</t>
  </si>
  <si>
    <t>FromSiteID</t>
  </si>
  <si>
    <t>TransportMethodID</t>
  </si>
  <si>
    <t>ToSiteID</t>
  </si>
  <si>
    <t>ToStreamID</t>
  </si>
  <si>
    <t>isSelected</t>
  </si>
  <si>
    <t>BlendSite01_ST01</t>
  </si>
  <si>
    <t>Pembina</t>
  </si>
  <si>
    <t>Shipper_01</t>
  </si>
  <si>
    <t>Shipper_02</t>
  </si>
  <si>
    <t>BlendSite01</t>
  </si>
  <si>
    <t>BlendSite02</t>
  </si>
  <si>
    <t>BlendSite03</t>
  </si>
  <si>
    <t>ShippingSite01</t>
  </si>
  <si>
    <t>ShippingSite02</t>
  </si>
  <si>
    <t>ShippingSite03</t>
  </si>
  <si>
    <t>ShippingSite04</t>
  </si>
  <si>
    <t>ShippingSite05</t>
  </si>
  <si>
    <t>ShippingSite06</t>
  </si>
  <si>
    <t>ShippingSite07</t>
  </si>
  <si>
    <t>Mainline LSB [WADF]</t>
  </si>
  <si>
    <t>Mainline MSB-Midale [WADF]</t>
  </si>
  <si>
    <t>WestSpur [WADF]</t>
  </si>
  <si>
    <t>Alida to Alida (Plama Alida)</t>
  </si>
  <si>
    <t>P_COND</t>
  </si>
  <si>
    <t>M3</t>
  </si>
  <si>
    <t>N002</t>
  </si>
  <si>
    <t>N004</t>
  </si>
  <si>
    <t>Provider=Microsoft.ACE.OLEDB.12.0;</t>
  </si>
  <si>
    <t>43</t>
  </si>
  <si>
    <t>STREAM_TEMP_01</t>
  </si>
  <si>
    <t>Template 01 2017</t>
  </si>
  <si>
    <t>Based on data Jan 2017</t>
  </si>
  <si>
    <t>STREAM_TEMP_02</t>
  </si>
  <si>
    <t>Template 02 2017</t>
  </si>
  <si>
    <t>Based on data Mar 2017</t>
  </si>
  <si>
    <t>STREAM_TEMP_03</t>
  </si>
  <si>
    <t>Template 03 2017</t>
  </si>
  <si>
    <t>Based on 2 Streams 2017</t>
  </si>
  <si>
    <t>Postell</t>
  </si>
  <si>
    <t>Trafigura</t>
  </si>
  <si>
    <t>TransportPipeline</t>
  </si>
  <si>
    <t>Postell1</t>
  </si>
  <si>
    <t>Trafigura1</t>
  </si>
  <si>
    <t>Trafigura3</t>
  </si>
  <si>
    <t>TransportPipe01</t>
  </si>
  <si>
    <t>TransportPipe02</t>
  </si>
  <si>
    <t>Stream 01</t>
  </si>
  <si>
    <t>BlendSite01_ST02</t>
  </si>
  <si>
    <t>Stream 02</t>
  </si>
  <si>
    <t>BlendSite01_ST03</t>
  </si>
  <si>
    <t>Stream 03</t>
  </si>
  <si>
    <t>BlendSite02_ST01</t>
  </si>
  <si>
    <t>BlendSite02_ST02</t>
  </si>
  <si>
    <t>BlendSite02_ST03</t>
  </si>
  <si>
    <t>BlendSite03_ST01</t>
  </si>
  <si>
    <t>BlendSite03_ST02</t>
  </si>
  <si>
    <t>P_MSW</t>
  </si>
  <si>
    <t>P_WCS</t>
  </si>
  <si>
    <t>N005</t>
  </si>
  <si>
    <t>N027</t>
  </si>
  <si>
    <t>N028</t>
  </si>
  <si>
    <t>N029</t>
  </si>
  <si>
    <t>T55</t>
  </si>
  <si>
    <t>T56</t>
  </si>
  <si>
    <t>T57</t>
  </si>
  <si>
    <t>T58</t>
  </si>
  <si>
    <t>T59</t>
  </si>
  <si>
    <t>T60</t>
  </si>
  <si>
    <t>T61</t>
  </si>
  <si>
    <t>T62</t>
  </si>
  <si>
    <t>T63</t>
  </si>
  <si>
    <t>T64</t>
  </si>
  <si>
    <t>T65</t>
  </si>
  <si>
    <t>T66</t>
  </si>
  <si>
    <t>T67</t>
  </si>
  <si>
    <t>C01</t>
  </si>
  <si>
    <t>C02</t>
  </si>
  <si>
    <t>TF01</t>
  </si>
  <si>
    <t>TF02</t>
  </si>
  <si>
    <t>TF03</t>
  </si>
  <si>
    <t>TF04</t>
  </si>
  <si>
    <t>TF05</t>
  </si>
  <si>
    <t>TF06</t>
  </si>
  <si>
    <t>3ST001</t>
  </si>
  <si>
    <t>3ST002</t>
  </si>
  <si>
    <t>3ST003</t>
  </si>
  <si>
    <t>2ST004</t>
  </si>
  <si>
    <t>OUT02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</si>
</sst>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_ ;[Red]\-#,##0.00\ "/>
    <numFmt numFmtId="165" formatCode="[$-409]mmmm\ d\,\ yyyy;@"/>
  </numFmts>
  <fonts count="27">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108">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right"/>
    </xf>
    <xf numFmtId="0" fontId="15" fillId="0" borderId="0" xfId="0" applyFont="1" applyAlignment="1">
      <alignment horizontal="center"/>
    </xf>
    <xf numFmtId="0" fontId="15" fillId="3" borderId="0" xfId="0" applyFont="1" applyFill="1" applyAlignment="1">
      <alignment horizontal="center"/>
    </xf>
    <xf numFmtId="0" fontId="0" fillId="3" borderId="0" xfId="0" applyFill="1" applyAlignment="1">
      <alignment horizontal="center"/>
    </xf>
    <xf numFmtId="0" fontId="8" fillId="3" borderId="0" xfId="0" applyFont="1" applyFill="1" applyBorder="1" applyAlignment="1">
      <alignment horizontal="center" vertical="center"/>
    </xf>
    <xf numFmtId="0" fontId="8" fillId="3" borderId="2" xfId="0" applyFont="1" applyFill="1" applyBorder="1" applyAlignment="1">
      <alignment horizontal="center" vertical="center"/>
    </xf>
    <xf numFmtId="0" fontId="25" fillId="0" borderId="0" xfId="0" applyNumberFormat="1" applyFont="1" applyAlignment="1">
      <alignment horizontal="center"/>
    </xf>
    <xf numFmtId="0" fontId="26" fillId="0" borderId="0" xfId="0" applyNumberFormat="1" applyFont="1" applyAlignment="1" applyProtection="1">
      <alignment horizontal="center" wrapText="1"/>
      <protection hidden="1"/>
    </xf>
    <xf numFmtId="0" fontId="25" fillId="0" borderId="0" xfId="0" applyNumberFormat="1" applyFont="1" applyAlignment="1">
      <alignment horizontal="center" vertical="center"/>
    </xf>
    <xf numFmtId="0" fontId="25" fillId="0" borderId="0" xfId="0" applyNumberFormat="1" applyFont="1" applyAlignment="1">
      <alignment horizontal="left"/>
    </xf>
    <xf numFmtId="0" fontId="25" fillId="0" borderId="0" xfId="0" applyNumberFormat="1" applyFont="1" applyAlignment="1">
      <alignment horizontal="right"/>
    </xf>
    <xf numFmtId="0" fontId="25" fillId="0" borderId="0" xfId="0" applyNumberFormat="1" applyFont="1" applyAlignment="1" applyProtection="1">
      <alignment horizontal="center" wrapText="1"/>
      <protection hidden="1"/>
    </xf>
    <xf numFmtId="0" fontId="25" fillId="0" borderId="0" xfId="0" applyNumberFormat="1" applyFont="1" applyAlignment="1" applyProtection="1">
      <alignment horizontal="center" vertical="center" wrapText="1"/>
      <protection hidden="1"/>
    </xf>
    <xf numFmtId="0" fontId="26" fillId="0" borderId="0" xfId="0" applyNumberFormat="1" applyFont="1" applyAlignment="1" applyProtection="1">
      <alignment horizontal="center" vertical="center" wrapText="1"/>
      <protection hidden="1"/>
    </xf>
    <xf numFmtId="0" fontId="25" fillId="0" borderId="0" xfId="0" applyNumberFormat="1" applyFont="1" applyAlignment="1">
      <alignment horizontal="left" vertical="center"/>
    </xf>
    <xf numFmtId="14" fontId="25" fillId="0" borderId="0" xfId="0" applyNumberFormat="1" applyFont="1" applyAlignment="1">
      <alignment horizontal="center"/>
    </xf>
    <xf numFmtId="0" fontId="0"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cellXfs>
  <cellStyles count="2">
    <cellStyle name="Normal" xfId="0" builtinId="0"/>
    <cellStyle name="Normal 2 3" xfId="1" xr:uid="{00000000-0005-0000-0000-000001000000}"/>
  </cellStyles>
  <dxfs count="346">
    <dxf>
      <numFmt numFmtId="0" formatCode="General"/>
      <alignment horizontal="center" vertical="top" textRotation="0" wrapText="1" indent="0" justifyLastLine="0" shrinkToFit="0" readingOrder="0"/>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numFmt numFmtId="0" formatCode="General"/>
      <alignment horizont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xr9:uid="{00000000-0011-0000-FFFF-FFFF00000000}">
      <tableStyleElement type="wholeTable" dxfId="34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172220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4145032" cy="586486"/>
              <a:chOff x="477468" y="2445584"/>
              <a:chExt cx="2693958" cy="585614"/>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84"/>
                <a:ext cx="2685938" cy="247591"/>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1797982</xdr:colOff>
      <xdr:row>1</xdr:row>
      <xdr:rowOff>171450</xdr:rowOff>
    </xdr:from>
    <xdr:to>
      <xdr:col>6</xdr:col>
      <xdr:colOff>467471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579904</xdr:colOff>
      <xdr:row>1</xdr:row>
      <xdr:rowOff>171450</xdr:rowOff>
    </xdr:from>
    <xdr:to>
      <xdr:col>10</xdr:col>
      <xdr:colOff>828675</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 xr10:uid="{00000000-0013-0000-FFFF-FFFF01000000}"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xperiment_Title" xr10:uid="{00000000-0013-0000-FFFF-FFFF02000000}"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 xr10:uid="{00000000-0013-0000-FFFF-FFFF03000000}"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 xr10:uid="{00000000-0013-0000-FFFF-FFFF04000000}"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 xr10:uid="{00000000-0013-0000-FFFF-FFFF05000000}"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 xr10:uid="{00000000-0013-0000-FFFF-FFFF06000000}"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 xr10:uid="{00000000-0013-0000-FFFF-FFFF07000000}"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1" xr10:uid="{00000000-0013-0000-FFFF-FFFF08000000}"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1111111" xr10:uid="{00000000-0013-0000-FFFF-FFFF09000000}"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 xr10:uid="{00000000-0013-0000-FFFF-FFFF0A000000}"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2" xr10:uid="{00000000-0013-0000-FFFF-FFFF0B000000}"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21" xr10:uid="{00000000-0013-0000-FFFF-FFFF0C000000}"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2" xr10:uid="{00000000-0013-0000-FFFF-FFFF0D000000}"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71111113" xr10:uid="{00000000-0013-0000-FFFF-FFFF0E000000}"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xr10:uid="{00000000-0014-0000-FFFF-FFFF01000000}" cache="Slicer_Active" caption="Active" columnCount="3" style="SlicerStyleDark2" rowHeight="182880"/>
  <slicer name="Experiment Title" xr10:uid="{00000000-0014-0000-FFFF-FFFF02000000}"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9" xr10:uid="{00000000-0014-0000-FFFF-FFFF03000000}"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30" xr10:uid="{00000000-0014-0000-FFFF-FFFF0400000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0" xr10:uid="{00000000-0014-0000-FFFF-FFFF0500000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1" xr10:uid="{00000000-0014-0000-FFFF-FFFF06000000}"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7" xr10:uid="{00000000-0014-0000-FFFF-FFFF07000000}"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3" xr10:uid="{00000000-0014-0000-FFFF-FFFF08000000}" cache="Slicer_Active7111112"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2" xr10:uid="{00000000-0014-0000-FFFF-FFFF09000000}" cache="Slicer_Active7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6" xr10:uid="{00000000-0014-0000-FFFF-FFFF0A000000}"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19" xr10:uid="{00000000-0014-0000-FFFF-FFFF0B000000}" cache="Slicer_Active7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4" xr10:uid="{00000000-0014-0000-FFFF-FFFF0C000000}" cache="Slicer_Active7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8" xr10:uid="{00000000-0014-0000-FFFF-FFFF0D000000}" cache="Slicer_Active7111112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tive 25" xr10:uid="{00000000-0014-0000-FFFF-FFFF0E000000}" cache="Slicer_Active711111111111" caption="Active"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0000000}" name="Experiments" displayName="Experiments" ref="B8:R11" totalsRowShown="0" headerRowDxfId="91" dataDxfId="344">
  <autoFilter ref="B8:R11" xr:uid="{00000000-0009-0000-0100-000011000000}"/>
  <sortState ref="B9:N9">
    <sortCondition ref="E8:E9"/>
  </sortState>
  <tableColumns count="17">
    <tableColumn id="16" xr3:uid="{00000000-0010-0000-0000-000010000000}" name="V" dataDxfId="343">
      <calculatedColumnFormula>IF(Experiments[[#This Row],[Active]]=TRUE,1,0)</calculatedColumnFormula>
    </tableColumn>
    <tableColumn id="11" xr3:uid="{00000000-0010-0000-0000-00000B000000}" name="Active" dataDxfId="342"/>
    <tableColumn id="2" xr3:uid="{00000000-0010-0000-0000-000002000000}" name="Code" dataDxfId="341"/>
    <tableColumn id="1" xr3:uid="{00000000-0010-0000-0000-000001000000}" name="Name" dataDxfId="340"/>
    <tableColumn id="13" xr3:uid="{00000000-0010-0000-0000-00000D000000}" name="Description" dataDxfId="339"/>
    <tableColumn id="7" xr3:uid="{00000000-0010-0000-0000-000007000000}" name="Currency" dataDxfId="338"/>
    <tableColumn id="10" xr3:uid="{00000000-0010-0000-0000-00000A000000}" name="Auto Stop" dataDxfId="337"/>
    <tableColumn id="3" xr3:uid="{00000000-0010-0000-0000-000003000000}" name="Iterations" dataDxfId="336"/>
    <tableColumn id="5" xr3:uid="{00000000-0010-0000-0000-000005000000}" name="Maximum Run Duration" dataDxfId="335"/>
    <tableColumn id="6" xr3:uid="{00000000-0010-0000-0000-000006000000}" name="Exchange Rate" dataDxfId="334"/>
    <tableColumn id="8" xr3:uid="{00000000-0010-0000-0000-000008000000}" name="Year" dataDxfId="333"/>
    <tableColumn id="9" xr3:uid="{00000000-0010-0000-0000-000009000000}" name="Month" dataDxfId="332"/>
    <tableColumn id="12" xr3:uid="{00000000-0010-0000-0000-00000C000000}" name="Factor (Barrel)" dataDxfId="331"/>
    <tableColumn id="4" xr3:uid="{00000000-0010-0000-0000-000004000000}" name="Advanced Optimization Setup" dataDxfId="330"/>
    <tableColumn id="15" xr3:uid="{00000000-0010-0000-0000-00000F000000}" name="Custom Variability Configuration" dataDxfId="329"/>
    <tableColumn id="17" xr3:uid="{00000000-0010-0000-0000-000011000000}" name="isSelected" dataDxfId="328"/>
    <tableColumn id="14" xr3:uid="{00000000-0010-0000-0000-00000E000000}" name="ID" dataDxfId="327"/>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OptObjective" displayName="OptObjective" ref="B4:K12" totalsRowShown="0" headerRowDxfId="90" dataDxfId="326">
  <autoFilter ref="B4:K12" xr:uid="{00000000-0009-0000-0100-00000C000000}"/>
  <sortState ref="B5:K5">
    <sortCondition ref="E4:E5"/>
  </sortState>
  <tableColumns count="10">
    <tableColumn id="14" xr3:uid="{00000000-0010-0000-0100-00000E000000}" name="L" dataDxfId="325" totalsRowDxfId="324">
      <calculatedColumnFormula>IF(OptObjective[[#This Row],[Active]]=TRUE,1,0)</calculatedColumnFormula>
    </tableColumn>
    <tableColumn id="8" xr3:uid="{00000000-0010-0000-0100-000008000000}" name="Active" dataDxfId="323" totalsRowDxfId="322"/>
    <tableColumn id="16" xr3:uid="{00000000-0010-0000-0100-000010000000}" name="Code" dataDxfId="321"/>
    <tableColumn id="17" xr3:uid="{00000000-0010-0000-0100-000011000000}" name="Order" dataDxfId="320"/>
    <tableColumn id="2" xr3:uid="{00000000-0010-0000-0100-000002000000}" name="Objective Type" dataDxfId="319"/>
    <tableColumn id="3" xr3:uid="{00000000-0010-0000-0100-000003000000}" name="Optimization Type" dataDxfId="318"/>
    <tableColumn id="4" xr3:uid="{00000000-0010-0000-0100-000004000000}" name="Weight" dataDxfId="317"/>
    <tableColumn id="1" xr3:uid="{00000000-0010-0000-0100-000001000000}" name="Comments" dataDxfId="316"/>
    <tableColumn id="5" xr3:uid="{00000000-0010-0000-0100-000005000000}" name="Experiment" dataDxfId="315"/>
    <tableColumn id="10" xr3:uid="{00000000-0010-0000-0100-00000A000000}" name="ID" dataDxfId="314"/>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Commodities" displayName="Commodities" ref="B4:N11" totalsRowShown="0" headerRowDxfId="89" dataDxfId="313">
  <autoFilter ref="B4:N11" xr:uid="{00000000-0009-0000-0100-00000E000000}"/>
  <tableColumns count="13">
    <tableColumn id="14" xr3:uid="{00000000-0010-0000-0200-00000E000000}" name="L" dataDxfId="312" totalsRowDxfId="311">
      <calculatedColumnFormula>IF(Commodities[[#This Row],[Active]]=TRUE,1,0)</calculatedColumnFormula>
    </tableColumn>
    <tableColumn id="8" xr3:uid="{00000000-0010-0000-0200-000008000000}" name="Active" dataDxfId="310" totalsRowDxfId="309"/>
    <tableColumn id="16" xr3:uid="{00000000-0010-0000-0200-000010000000}" name="Code" dataDxfId="308"/>
    <tableColumn id="17" xr3:uid="{00000000-0010-0000-0200-000011000000}" name="Name" dataDxfId="307"/>
    <tableColumn id="1" xr3:uid="{00000000-0010-0000-0200-000001000000}" name="Color" dataDxfId="306"/>
    <tableColumn id="5" xr3:uid="{00000000-0010-0000-0200-000005000000}" name="Battery Calculation" dataDxfId="305"/>
    <tableColumn id="4" xr3:uid="{00000000-0010-0000-0200-000004000000}" name="Material Type" dataDxfId="304"/>
    <tableColumn id="3" xr3:uid="{00000000-0010-0000-0200-000003000000}" name="Product Type" dataDxfId="303"/>
    <tableColumn id="6" xr3:uid="{00000000-0010-0000-0200-000006000000}" name="Benchmark" dataDxfId="302"/>
    <tableColumn id="2" xr3:uid="{00000000-0010-0000-0200-000002000000}" name="Comments" dataDxfId="301"/>
    <tableColumn id="9" xr3:uid="{00000000-0010-0000-0200-000009000000}" name="MaterialTypeID" dataDxfId="300">
      <calculatedColumnFormula>IF(Commodities[[#This Row],[Material Type]]="","",INDEX(MaterialTypes[ID],MATCH(Commodities[[#This Row],[Material Type]],MaterialTypes[Code],0)))</calculatedColumnFormula>
    </tableColumn>
    <tableColumn id="7" xr3:uid="{00000000-0010-0000-0200-000007000000}" name="ProductTypeID" dataDxfId="299">
      <calculatedColumnFormula>IF(Commodities[[#This Row],[Product Type]]="","",INDEX(ProductTypes[ID],MATCH(Commodities[[#This Row],[Product Type]],ProductTypes[Code],0)))</calculatedColumnFormula>
    </tableColumn>
    <tableColumn id="10" xr3:uid="{00000000-0010-0000-0200-00000A000000}" name="ID" dataDxfId="298"/>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Shippers" displayName="Shippers" ref="B4:G13" totalsRowShown="0" headerRowDxfId="88" dataDxfId="297">
  <autoFilter ref="B4:G13" xr:uid="{00000000-0009-0000-0100-000003000000}"/>
  <tableColumns count="6">
    <tableColumn id="14" xr3:uid="{00000000-0010-0000-0300-00000E000000}" name="L" dataDxfId="296" totalsRowDxfId="295">
      <calculatedColumnFormula>IF(Shippers[[#This Row],[Active]]=TRUE,1,0)</calculatedColumnFormula>
    </tableColumn>
    <tableColumn id="8" xr3:uid="{00000000-0010-0000-0300-000008000000}" name="Active" dataDxfId="294" totalsRowDxfId="293"/>
    <tableColumn id="16" xr3:uid="{00000000-0010-0000-0300-000010000000}" name="Code" dataDxfId="292"/>
    <tableColumn id="17" xr3:uid="{00000000-0010-0000-0300-000011000000}" name="Name" dataDxfId="291"/>
    <tableColumn id="1" xr3:uid="{00000000-0010-0000-0300-000001000000}" name="Comments" dataDxfId="290"/>
    <tableColumn id="10" xr3:uid="{00000000-0010-0000-0300-00000A000000}" name="ID" dataDxfId="289"/>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Sites" displayName="Sites" ref="B4:M23" totalsRowShown="0" headerRowDxfId="87" dataDxfId="288">
  <autoFilter ref="B4:M23" xr:uid="{00000000-0009-0000-0100-000004000000}"/>
  <sortState ref="B5:M5">
    <sortCondition ref="D4:D5"/>
  </sortState>
  <tableColumns count="12">
    <tableColumn id="14" xr3:uid="{00000000-0010-0000-0400-00000E000000}" name="L" dataDxfId="287" totalsRowDxfId="286">
      <calculatedColumnFormula>IF(Sites[[#This Row],[Active]]=TRUE,1,0)</calculatedColumnFormula>
    </tableColumn>
    <tableColumn id="8" xr3:uid="{00000000-0010-0000-0400-000008000000}" name="Active" dataDxfId="285" totalsRowDxfId="284"/>
    <tableColumn id="16" xr3:uid="{00000000-0010-0000-0400-000010000000}" name="Code" dataDxfId="283"/>
    <tableColumn id="17" xr3:uid="{00000000-0010-0000-0400-000011000000}" name="Name" dataDxfId="282"/>
    <tableColumn id="18" xr3:uid="{00000000-0010-0000-0400-000012000000}" name="Shipper" dataDxfId="281"/>
    <tableColumn id="1" xr3:uid="{00000000-0010-0000-0400-000001000000}" name="X" dataDxfId="280"/>
    <tableColumn id="21" xr3:uid="{00000000-0010-0000-0400-000015000000}" name="Y" dataDxfId="279"/>
    <tableColumn id="2" xr3:uid="{00000000-0010-0000-0400-000002000000}" name="Z" dataDxfId="278"/>
    <tableColumn id="3" xr3:uid="{00000000-0010-0000-0400-000003000000}" name="Address" dataDxfId="277"/>
    <tableColumn id="4" xr3:uid="{00000000-0010-0000-0400-000004000000}" name="Comments" dataDxfId="276"/>
    <tableColumn id="5" xr3:uid="{00000000-0010-0000-0400-000005000000}" name="ShipperID" dataDxfId="275">
      <calculatedColumnFormula>IF(Sites[[#This Row],[Shipper]]="","",INDEX(Shippers[ID],MATCH(Sites[[#This Row],[Shipper]],Shippers[Code],0)))</calculatedColumnFormula>
    </tableColumn>
    <tableColumn id="10" xr3:uid="{00000000-0010-0000-0400-00000A000000}" name="ID" dataDxfId="274"/>
  </tableColumns>
  <tableStyleInfo name="TableStyleLight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Streams" displayName="Streams" ref="B4:Q12" totalsRowShown="0" headerRowDxfId="86" dataDxfId="273">
  <autoFilter ref="B4:Q12" xr:uid="{00000000-0009-0000-0100-00000A000000}"/>
  <tableColumns count="16">
    <tableColumn id="14" xr3:uid="{00000000-0010-0000-0500-00000E000000}" name="L" dataDxfId="272" totalsRowDxfId="271">
      <calculatedColumnFormula>IF(Streams[[#This Row],[Active]]=TRUE,1,0)</calculatedColumnFormula>
    </tableColumn>
    <tableColumn id="8" xr3:uid="{00000000-0010-0000-0500-000008000000}" name="Active" dataDxfId="270" totalsRowDxfId="269"/>
    <tableColumn id="16" xr3:uid="{00000000-0010-0000-0500-000010000000}" name="Code" dataDxfId="268"/>
    <tableColumn id="2" xr3:uid="{00000000-0010-0000-0500-000002000000}" name="Name" dataDxfId="267"/>
    <tableColumn id="20" xr3:uid="{00000000-0010-0000-0500-000014000000}" name="Shipper" dataDxfId="266"/>
    <tableColumn id="21" xr3:uid="{00000000-0010-0000-0500-000015000000}" name="Site" dataDxfId="265"/>
    <tableColumn id="4" xr3:uid="{00000000-0010-0000-0500-000004000000}" name="Destination Shipper" dataDxfId="264"/>
    <tableColumn id="3" xr3:uid="{00000000-0010-0000-0500-000003000000}" name="Destination Site" dataDxfId="263"/>
    <tableColumn id="22" xr3:uid="{00000000-0010-0000-0500-000016000000}" name="Transport Method" dataDxfId="262"/>
    <tableColumn id="1" xr3:uid="{00000000-0010-0000-0500-000001000000}" name="Comments"/>
    <tableColumn id="6" xr3:uid="{00000000-0010-0000-0500-000006000000}" name="ShipperID" dataDxfId="261">
      <calculatedColumnFormula>IF(Streams[[#This Row],[Shipper]]="","",INDEX(Shippers[ID],MATCH(Streams[[#This Row],[Shipper]],Shippers[Code],0)))</calculatedColumnFormula>
    </tableColumn>
    <tableColumn id="7" xr3:uid="{00000000-0010-0000-0500-000007000000}" name="SiteID" dataDxfId="260">
      <calculatedColumnFormula>IF(Streams[[#This Row],[Site]]="","",INDEX(Sites[ID],MATCH(Streams[[#This Row],[Site]],Sites[Code],0)))</calculatedColumnFormula>
    </tableColumn>
    <tableColumn id="9" xr3:uid="{00000000-0010-0000-0500-000009000000}" name="DestinationShipperID" dataDxfId="259">
      <calculatedColumnFormula>IF(Streams[[#This Row],[Destination Shipper]]="","",INDEX(Shippers[ID],MATCH(Streams[[#This Row],[Destination Shipper]],Shippers[Code],0)))</calculatedColumnFormula>
    </tableColumn>
    <tableColumn id="11" xr3:uid="{00000000-0010-0000-0500-00000B000000}" name="DestinationSiteID" dataDxfId="258">
      <calculatedColumnFormula>IF(Streams[[#This Row],[Destination Site]]="","",INDEX(Sites[ID],MATCH(Streams[[#This Row],[Destination Site]],Sites[Code],0)))</calculatedColumnFormula>
    </tableColumn>
    <tableColumn id="12" xr3:uid="{00000000-0010-0000-0500-00000C000000}" name="TransportTypeID" dataDxfId="257">
      <calculatedColumnFormula>IF(Streams[[#This Row],[Transport Method]]="","",INDEX(TransportMethods[ID],MATCH(Streams[[#This Row],[Transport Method]],TransportMethods[Code],0)))</calculatedColumnFormula>
    </tableColumn>
    <tableColumn id="10" xr3:uid="{00000000-0010-0000-0500-00000A000000}" name="ID" dataDxfId="256"/>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Stream2Experiment" displayName="Stream2Experiment" ref="B4:H7" totalsRowShown="0" headerRowDxfId="77" dataDxfId="255">
  <autoFilter ref="B4:H7" xr:uid="{00000000-0009-0000-0100-00000B000000}"/>
  <sortState ref="B5:H5">
    <sortCondition descending="1" ref="C4:C5"/>
  </sortState>
  <tableColumns count="7">
    <tableColumn id="14" xr3:uid="{00000000-0010-0000-0600-00000E000000}" name="L" dataDxfId="254" totalsRowDxfId="253">
      <calculatedColumnFormula>IF(Stream2Experiment[[#This Row],[Active]]=TRUE,1,0)</calculatedColumnFormula>
    </tableColumn>
    <tableColumn id="8" xr3:uid="{00000000-0010-0000-0600-000008000000}" name="Active" dataDxfId="252" totalsRowDxfId="251"/>
    <tableColumn id="12" xr3:uid="{00000000-0010-0000-0600-00000C000000}" name="Stream" dataDxfId="250"/>
    <tableColumn id="1" xr3:uid="{00000000-0010-0000-0600-000001000000}" name="Comments" dataDxfId="249"/>
    <tableColumn id="3" xr3:uid="{00000000-0010-0000-0600-000003000000}" name="StreamID" dataDxfId="248">
      <calculatedColumnFormula>IF(Stream2Experiment[[#This Row],[Stream]]="","",INDEX(Streams[ID],MATCH(Stream2Experiment[[#This Row],[Stream]],Streams[Code],0)))</calculatedColumnFormula>
    </tableColumn>
    <tableColumn id="9" xr3:uid="{00000000-0010-0000-0600-000009000000}" name="Experiment" dataDxfId="247"/>
    <tableColumn id="10" xr3:uid="{00000000-0010-0000-0600-00000A000000}" name="ID" dataDxfId="24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ProductCosts" displayName="ProductCosts" ref="B4:W11" totalsRowShown="0" headerRowDxfId="82" dataDxfId="245">
  <autoFilter ref="B4:W11" xr:uid="{00000000-0009-0000-0100-000005000000}"/>
  <sortState ref="B4:X4">
    <sortCondition ref="D4"/>
  </sortState>
  <tableColumns count="22">
    <tableColumn id="14" xr3:uid="{00000000-0010-0000-0700-00000E000000}" name="L" dataDxfId="244" totalsRowDxfId="243">
      <calculatedColumnFormula>IF(ProductCosts[[#This Row],[Active]]=TRUE,1,0)</calculatedColumnFormula>
    </tableColumn>
    <tableColumn id="8" xr3:uid="{00000000-0010-0000-0700-000008000000}" name="Active" dataDxfId="242" totalsRowDxfId="241"/>
    <tableColumn id="16" xr3:uid="{00000000-0010-0000-0700-000010000000}" name="Code" dataDxfId="240"/>
    <tableColumn id="17" xr3:uid="{00000000-0010-0000-0700-000011000000}" name="Material Type" dataDxfId="239"/>
    <tableColumn id="18" xr3:uid="{00000000-0010-0000-0700-000012000000}" name="Cost Rule" dataDxfId="238"/>
    <tableColumn id="13" xr3:uid="{00000000-0010-0000-0700-00000D000000}" name="Reference Commodity" dataDxfId="237"/>
    <tableColumn id="21" xr3:uid="{00000000-0010-0000-0700-000015000000}" name="Order" dataDxfId="236"/>
    <tableColumn id="3" xr3:uid="{00000000-0010-0000-0700-000003000000}" name="Cost" dataDxfId="235"/>
    <tableColumn id="2" xr3:uid="{00000000-0010-0000-0700-000002000000}" name="Currency" dataDxfId="234"/>
    <tableColumn id="1" xr3:uid="{00000000-0010-0000-0700-000001000000}" name="Unit" dataDxfId="233"/>
    <tableColumn id="15" xr3:uid="{00000000-0010-0000-0700-00000F000000}" name="Cost Variability Std" dataDxfId="232"/>
    <tableColumn id="4" xr3:uid="{00000000-0010-0000-0700-000004000000}" name="Minimum Density" dataDxfId="231"/>
    <tableColumn id="11" xr3:uid="{00000000-0010-0000-0700-00000B000000}" name="Maximum Density" dataDxfId="230"/>
    <tableColumn id="9" xr3:uid="{00000000-0010-0000-0700-000009000000}" name="Minimum Sulfur" dataDxfId="229"/>
    <tableColumn id="7" xr3:uid="{00000000-0010-0000-0700-000007000000}" name="Maximum Sulfur" dataDxfId="228"/>
    <tableColumn id="6" xr3:uid="{00000000-0010-0000-0700-000006000000}" name="Minimum TVP" dataDxfId="227"/>
    <tableColumn id="12" xr3:uid="{00000000-0010-0000-0700-00000C000000}" name="Maximum TVP" dataDxfId="226"/>
    <tableColumn id="22" xr3:uid="{00000000-0010-0000-0700-000016000000}" name="RefCommodityID" dataDxfId="225">
      <calculatedColumnFormula>IF(ProductCosts[[#This Row],[Reference Commodity]]="","",INDEX(Commodities[ID],MATCH(ProductCosts[[#This Row],[Reference Commodity]],Commodities[Code],0)))</calculatedColumnFormula>
    </tableColumn>
    <tableColumn id="19" xr3:uid="{00000000-0010-0000-0700-000013000000}" name="MaterialTypeID" dataDxfId="224">
      <calculatedColumnFormula>IF(ProductCosts[[#This Row],[Material Type]]="","",INDEX(MaterialTypes[ID],MATCH(ProductCosts[[#This Row],[Material Type]],MaterialTypes[Code],0)))</calculatedColumnFormula>
    </tableColumn>
    <tableColumn id="20" xr3:uid="{00000000-0010-0000-0700-000014000000}" name="CommodityID" dataDxfId="223">
      <calculatedColumnFormula>IF(ProductCosts[[#This Row],[Reference Commodity]]="","",INDEX(Commodities[ID],MATCH(ProductCosts[[#This Row],[Reference Commodity]],Commodities[Code],0)))</calculatedColumnFormula>
    </tableColumn>
    <tableColumn id="5" xr3:uid="{00000000-0010-0000-0700-000005000000}" name="Experiment"/>
    <tableColumn id="10" xr3:uid="{00000000-0010-0000-0700-00000A000000}" name="ID" dataDxfId="222"/>
  </tableColumns>
  <tableStyleInfo name="TableStyleLight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Nominations" displayName="Nominations" ref="B4:AK11" totalsRowShown="0" headerRowDxfId="81" dataDxfId="221">
  <autoFilter ref="B4:AK11" xr:uid="{00000000-0009-0000-0100-000009000000}"/>
  <sortState ref="B5:AK5">
    <sortCondition ref="G4:G5"/>
  </sortState>
  <tableColumns count="36">
    <tableColumn id="14" xr3:uid="{00000000-0010-0000-0800-00000E000000}" name="L" dataDxfId="220" totalsRowDxfId="219">
      <calculatedColumnFormula>IF(Nominations[[#This Row],[Active]]=TRUE,1,0)</calculatedColumnFormula>
    </tableColumn>
    <tableColumn id="8" xr3:uid="{00000000-0010-0000-0800-000008000000}" name="Active" dataDxfId="218" totalsRowDxfId="217"/>
    <tableColumn id="16" xr3:uid="{00000000-0010-0000-0800-000010000000}" name="Code" dataDxfId="216"/>
    <tableColumn id="4" xr3:uid="{00000000-0010-0000-0800-000004000000}" name="Blending Order" dataDxfId="215"/>
    <tableColumn id="3" xr3:uid="{00000000-0010-0000-0800-000003000000}" name="Shipper" dataDxfId="214"/>
    <tableColumn id="2" xr3:uid="{00000000-0010-0000-0800-000002000000}" name="Site" dataDxfId="213"/>
    <tableColumn id="9" xr3:uid="{00000000-0010-0000-0800-000009000000}" name="Commodity" dataDxfId="212"/>
    <tableColumn id="13" xr3:uid="{00000000-0010-0000-0800-00000D000000}" name="Transport Method" dataDxfId="211"/>
    <tableColumn id="17" xr3:uid="{00000000-0010-0000-0800-000011000000}" name="Battery Calculation" dataDxfId="210"/>
    <tableColumn id="22" xr3:uid="{00000000-0010-0000-0800-000016000000}" name="Nomination" dataDxfId="209"/>
    <tableColumn id="18" xr3:uid="{00000000-0010-0000-0800-000012000000}" name="Nomination Variability" dataDxfId="208"/>
    <tableColumn id="21" xr3:uid="{00000000-0010-0000-0800-000015000000}" name="Minimum Nomination" dataDxfId="207"/>
    <tableColumn id="20" xr3:uid="{00000000-0010-0000-0800-000014000000}" name="Maximum Nomination" dataDxfId="206"/>
    <tableColumn id="26" xr3:uid="{00000000-0010-0000-0800-00001A000000}" name="Count Shipment" dataDxfId="205"/>
    <tableColumn id="25" xr3:uid="{00000000-0010-0000-0800-000019000000}" name="Minimum Number of Shipment" dataDxfId="204"/>
    <tableColumn id="27" xr3:uid="{00000000-0010-0000-0800-00001B000000}" name="Maximum Number of Shipment" dataDxfId="203"/>
    <tableColumn id="19" xr3:uid="{00000000-0010-0000-0800-000013000000}" name="Density" dataDxfId="202"/>
    <tableColumn id="28" xr3:uid="{00000000-0010-0000-0800-00001C000000}" name="Density Variability" dataDxfId="201"/>
    <tableColumn id="24" xr3:uid="{00000000-0010-0000-0800-000018000000}" name="Sulfur" dataDxfId="200"/>
    <tableColumn id="29" xr3:uid="{00000000-0010-0000-0800-00001D000000}" name="Sulfur Variability" dataDxfId="199"/>
    <tableColumn id="23" xr3:uid="{00000000-0010-0000-0800-000017000000}" name="Viscosity" dataDxfId="198"/>
    <tableColumn id="30" xr3:uid="{00000000-0010-0000-0800-00001E000000}" name="Viscosity Variability" dataDxfId="197"/>
    <tableColumn id="12" xr3:uid="{00000000-0010-0000-0800-00000C000000}" name="TVP" dataDxfId="196"/>
    <tableColumn id="31" xr3:uid="{00000000-0010-0000-0800-00001F000000}" name="TVP Variability" dataDxfId="195"/>
    <tableColumn id="11" xr3:uid="{00000000-0010-0000-0800-00000B000000}" name="RVP" dataDxfId="194"/>
    <tableColumn id="7" xr3:uid="{00000000-0010-0000-0800-000007000000}" name="Premium" dataDxfId="193"/>
    <tableColumn id="6" xr3:uid="{00000000-0010-0000-0800-000006000000}" name="Premium Currency" dataDxfId="192"/>
    <tableColumn id="1" xr3:uid="{00000000-0010-0000-0800-000001000000}" name="Premium Unit" dataDxfId="191"/>
    <tableColumn id="15" xr3:uid="{00000000-0010-0000-0800-00000F000000}" name="Priority" dataDxfId="190"/>
    <tableColumn id="32" xr3:uid="{00000000-0010-0000-0800-000020000000}" name="Custom Risk Index" dataDxfId="189"/>
    <tableColumn id="33" xr3:uid="{00000000-0010-0000-0800-000021000000}" name="ShipperID" dataDxfId="188">
      <calculatedColumnFormula>IF(Nominations[[#This Row],[Shipper]]="","",INDEX(Shippers[ID],MATCH(Nominations[[#This Row],[Shipper]],Shippers[Code],0)))</calculatedColumnFormula>
    </tableColumn>
    <tableColumn id="34" xr3:uid="{00000000-0010-0000-0800-000022000000}" name="SiteID" dataDxfId="187">
      <calculatedColumnFormula>IF(Nominations[[#This Row],[Site]]="","",INDEX(Sites[ID],MATCH(Nominations[[#This Row],[Site]],Sites[Code],0)))</calculatedColumnFormula>
    </tableColumn>
    <tableColumn id="35" xr3:uid="{00000000-0010-0000-0800-000023000000}" name="CommodityID" dataDxfId="186">
      <calculatedColumnFormula>IF(Nominations[[#This Row],[Commodity]]="","",INDEX(Commodities[ID],MATCH(Nominations[[#This Row],[Commodity]],Commodities[Code],0)))</calculatedColumnFormula>
    </tableColumn>
    <tableColumn id="36" xr3:uid="{00000000-0010-0000-0800-000024000000}" name="TransportTypeID" dataDxfId="185">
      <calculatedColumnFormula>IF(Nominations[[#This Row],[Transport Method]]="","",INDEX(TransportMethods[ID],MATCH(Nominations[[#This Row],[Transport Method]],TransportMethods[Code],0)))</calculatedColumnFormula>
    </tableColumn>
    <tableColumn id="5" xr3:uid="{00000000-0010-0000-0800-000005000000}" name="Experiment" dataDxfId="184"/>
    <tableColumn id="10" xr3:uid="{00000000-0010-0000-0800-00000A000000}" name="ID" dataDxfId="183"/>
  </tableColumns>
  <tableStyleInfo name="TableStyleLight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OutflowConstraints" displayName="OutflowConstraints" ref="B4:O11" totalsRowShown="0" headerRowDxfId="78" dataDxfId="182">
  <autoFilter ref="B4:O11" xr:uid="{00000000-0009-0000-0100-000002000000}"/>
  <sortState ref="B5:O5">
    <sortCondition descending="1" ref="C4:C5"/>
  </sortState>
  <tableColumns count="14">
    <tableColumn id="14" xr3:uid="{00000000-0010-0000-0900-00000E000000}" name="L" dataDxfId="181" totalsRowDxfId="180">
      <calculatedColumnFormula>IF(OutflowConstraints[[#This Row],[Active]]=TRUE,1,0)</calculatedColumnFormula>
    </tableColumn>
    <tableColumn id="8" xr3:uid="{00000000-0010-0000-0900-000008000000}" name="Active" dataDxfId="179" totalsRowDxfId="178"/>
    <tableColumn id="16" xr3:uid="{00000000-0010-0000-0900-000010000000}" name="Code" dataDxfId="177"/>
    <tableColumn id="17" xr3:uid="{00000000-0010-0000-0900-000011000000}" name="Constraint Type" dataDxfId="176"/>
    <tableColumn id="18" xr3:uid="{00000000-0010-0000-0900-000012000000}" name="Site"/>
    <tableColumn id="12" xr3:uid="{00000000-0010-0000-0900-00000C000000}" name="Stream" dataDxfId="175"/>
    <tableColumn id="13" xr3:uid="{00000000-0010-0000-0900-00000D000000}" name="Minimum Capacity On" dataDxfId="174"/>
    <tableColumn id="19" xr3:uid="{00000000-0010-0000-0900-000013000000}" name="Minimum Capacity" dataDxfId="173"/>
    <tableColumn id="11" xr3:uid="{00000000-0010-0000-0900-00000B000000}" name="Maximum Capacity On" dataDxfId="172"/>
    <tableColumn id="5" xr3:uid="{00000000-0010-0000-0900-000005000000}" name="Maximum Capacity" dataDxfId="171"/>
    <tableColumn id="2" xr3:uid="{00000000-0010-0000-0900-000002000000}" name="SiteID" dataDxfId="170">
      <calculatedColumnFormula>IF(OutflowConstraints[[#This Row],[Site]]="","",INDEX(Sites[ID],MATCH(OutflowConstraints[[#This Row],[Site]],Sites[Code],0)))</calculatedColumnFormula>
    </tableColumn>
    <tableColumn id="1" xr3:uid="{00000000-0010-0000-0900-000001000000}" name="StreamID" dataDxfId="169">
      <calculatedColumnFormula>IF(OutflowConstraints[[#This Row],[Stream]]="","",INDEX(Streams[ID],MATCH(OutflowConstraints[[#This Row],[Stream]],Streams[Code],0)))</calculatedColumnFormula>
    </tableColumn>
    <tableColumn id="9" xr3:uid="{00000000-0010-0000-0900-000009000000}" name="Experiment" dataDxfId="168"/>
    <tableColumn id="10" xr3:uid="{00000000-0010-0000-0900-00000A000000}" name="ID" dataDxfId="167"/>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riff" displayName="Tariff" ref="B4:AC17" totalsRowShown="0" headerRowDxfId="80" dataDxfId="166">
  <autoFilter ref="B4:AC17" xr:uid="{00000000-0009-0000-0100-000007000000}"/>
  <sortState ref="B5:AC5">
    <sortCondition ref="I4:I5"/>
  </sortState>
  <tableColumns count="28">
    <tableColumn id="14" xr3:uid="{00000000-0010-0000-0A00-00000E000000}" name="L" dataDxfId="165" totalsRowDxfId="164">
      <calculatedColumnFormula>IF(Tariff[[#This Row],[Active]]=TRUE,1,0)</calculatedColumnFormula>
    </tableColumn>
    <tableColumn id="8" xr3:uid="{00000000-0010-0000-0A00-000008000000}" name="Active" dataDxfId="163" totalsRowDxfId="162"/>
    <tableColumn id="4" xr3:uid="{00000000-0010-0000-0A00-000004000000}" name="Code" dataDxfId="161"/>
    <tableColumn id="3" xr3:uid="{00000000-0010-0000-0A00-000003000000}" name="Tariff Type" dataDxfId="160"/>
    <tableColumn id="2" xr3:uid="{00000000-0010-0000-0A00-000002000000}" name="Value" dataDxfId="159"/>
    <tableColumn id="7" xr3:uid="{00000000-0010-0000-0A00-000007000000}" name="Currency" dataDxfId="158"/>
    <tableColumn id="6" xr3:uid="{00000000-0010-0000-0A00-000006000000}" name="Exclude Commodities" dataDxfId="157"/>
    <tableColumn id="11" xr3:uid="{00000000-0010-0000-0A00-00000B000000}" name="Commodity" dataDxfId="156"/>
    <tableColumn id="9" xr3:uid="{00000000-0010-0000-0A00-000009000000}" name="Exclude Material Types" dataDxfId="155"/>
    <tableColumn id="5" xr3:uid="{00000000-0010-0000-0A00-000005000000}" name="Material Type" dataDxfId="154"/>
    <tableColumn id="13" xr3:uid="{00000000-0010-0000-0A00-00000D000000}" name="Exclude Transport Methods" dataDxfId="153"/>
    <tableColumn id="12" xr3:uid="{00000000-0010-0000-0A00-00000C000000}" name="Transport Method" dataDxfId="152"/>
    <tableColumn id="19" xr3:uid="{00000000-0010-0000-0A00-000013000000}" name="Exclude Shippers" dataDxfId="151"/>
    <tableColumn id="1" xr3:uid="{00000000-0010-0000-0A00-000001000000}" name="From Shipper" dataDxfId="150"/>
    <tableColumn id="15" xr3:uid="{00000000-0010-0000-0A00-00000F000000}" name="Exclude Sites" dataDxfId="149"/>
    <tableColumn id="16" xr3:uid="{00000000-0010-0000-0A00-000010000000}" name="From Shipper Site" dataDxfId="148"/>
    <tableColumn id="17" xr3:uid="{00000000-0010-0000-0A00-000011000000}" name="To Shipper" dataDxfId="147"/>
    <tableColumn id="20" xr3:uid="{00000000-0010-0000-0A00-000014000000}" name="To Shipper Site" dataDxfId="146"/>
    <tableColumn id="21" xr3:uid="{00000000-0010-0000-0A00-000015000000}" name="Comments" dataDxfId="145"/>
    <tableColumn id="28" xr3:uid="{00000000-0010-0000-0A00-00001C000000}" name="CommodityID" dataDxfId="144">
      <calculatedColumnFormula>IF(Tariff[[#This Row],[Commodity]]="","",INDEX(Commodities[ID],MATCH(Tariff[[#This Row],[Commodity]],Commodities[Code],0)))</calculatedColumnFormula>
    </tableColumn>
    <tableColumn id="29" xr3:uid="{00000000-0010-0000-0A00-00001D000000}" name="MaterialTypeID" dataDxfId="143">
      <calculatedColumnFormula>IF(Tariff[[#This Row],[Material Type]]="","",INDEX(MaterialTypes[ID],MATCH(Tariff[[#This Row],[Material Type]],MaterialTypes[Code],0)))</calculatedColumnFormula>
    </tableColumn>
    <tableColumn id="22" xr3:uid="{00000000-0010-0000-0A00-000016000000}" name="TransportTypeID" dataDxfId="142">
      <calculatedColumnFormula>IF(Tariff[[#This Row],[Transport Method]]="","",INDEX(TransportMethods[ID],MATCH(Tariff[[#This Row],[Transport Method]],TransportMethods[Code],0)))</calculatedColumnFormula>
    </tableColumn>
    <tableColumn id="23" xr3:uid="{00000000-0010-0000-0A00-000017000000}" name="FromShipperID" dataDxfId="141">
      <calculatedColumnFormula>IF(Tariff[[#This Row],[From Shipper]]="","",INDEX(Shippers[ID],MATCH(Tariff[[#This Row],[From Shipper]],Shippers[Code],0)))</calculatedColumnFormula>
    </tableColumn>
    <tableColumn id="24" xr3:uid="{00000000-0010-0000-0A00-000018000000}" name="FromShipperSiteID" dataDxfId="140">
      <calculatedColumnFormula>IF(Tariff[[#This Row],[From Shipper Site]]="","",INDEX(Sites[ID],MATCH(Tariff[[#This Row],[From Shipper Site]],Sites[Code],0)))</calculatedColumnFormula>
    </tableColumn>
    <tableColumn id="25" xr3:uid="{00000000-0010-0000-0A00-000019000000}" name="ToShipperID" dataDxfId="139">
      <calculatedColumnFormula>IF(Tariff[[#This Row],[To Shipper]]="","",INDEX(Shippers[ID],MATCH(Tariff[[#This Row],[To Shipper]],Shippers[Code],0)))</calculatedColumnFormula>
    </tableColumn>
    <tableColumn id="26" xr3:uid="{00000000-0010-0000-0A00-00001A000000}" name="ToShipperSiteID" dataDxfId="138">
      <calculatedColumnFormula>IF(Tariff[[#This Row],[To Shipper Site]]="","",INDEX(Sites[ID],MATCH(Tariff[[#This Row],[To Shipper Site]],Sites[Code],0)))</calculatedColumnFormula>
    </tableColumn>
    <tableColumn id="18" xr3:uid="{00000000-0010-0000-0A00-000012000000}" name="Experiment" dataDxfId="137"/>
    <tableColumn id="10" xr3:uid="{00000000-0010-0000-0A00-00000A000000}" name="ID" dataDxfId="136"/>
  </tableColumns>
  <tableStyleInfo name="TableStyleLight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B000000}" name="TotalInflowConstraints" displayName="TotalInflowConstraints" ref="B4:M6" totalsRowShown="0" headerRowDxfId="0" dataDxfId="135">
  <autoFilter ref="B4:M6" xr:uid="{00000000-0009-0000-0100-000001000000}"/>
  <sortState ref="B5:M5">
    <sortCondition descending="1" ref="C4:C5"/>
  </sortState>
  <tableColumns count="12">
    <tableColumn id="14" xr3:uid="{00000000-0010-0000-0B00-00000E000000}" name="L" dataDxfId="134" totalsRowDxfId="133">
      <calculatedColumnFormula>IF(TotalInflowConstraints[[#This Row],[Active]]=TRUE,1,0)</calculatedColumnFormula>
    </tableColumn>
    <tableColumn id="8" xr3:uid="{00000000-0010-0000-0B00-000008000000}" name="Active" dataDxfId="132" totalsRowDxfId="131"/>
    <tableColumn id="2" xr3:uid="{00000000-0010-0000-0B00-000002000000}" name="Code" totalsRowDxfId="130"/>
    <tableColumn id="3" xr3:uid="{00000000-0010-0000-0B00-000003000000}" name="Site" totalsRowDxfId="129"/>
    <tableColumn id="4" xr3:uid="{00000000-0010-0000-0B00-000004000000}" name="Constraint Type" totalsRowDxfId="128"/>
    <tableColumn id="12" xr3:uid="{00000000-0010-0000-0B00-00000C000000}" name="Minimum Limit" dataDxfId="127"/>
    <tableColumn id="5" xr3:uid="{00000000-0010-0000-0B00-000005000000}" name="Minimum Capacity" dataDxfId="126"/>
    <tableColumn id="6" xr3:uid="{00000000-0010-0000-0B00-000006000000}" name="Maximum Limit" dataDxfId="125"/>
    <tableColumn id="7" xr3:uid="{00000000-0010-0000-0B00-000007000000}" name="Maximum Capacity" dataDxfId="124"/>
    <tableColumn id="1" xr3:uid="{00000000-0010-0000-0B00-000001000000}" name="SiteID">
      <calculatedColumnFormula>IF(TotalInflowConstraints[[#This Row],[Site]]="","",INDEX(Sites[ID],MATCH(TotalInflowConstraints[[#This Row],[Site]],Sites[Code],0)))</calculatedColumnFormula>
    </tableColumn>
    <tableColumn id="9" xr3:uid="{00000000-0010-0000-0B00-000009000000}" name="Experiment" dataDxfId="123"/>
    <tableColumn id="10" xr3:uid="{00000000-0010-0000-0B00-00000A000000}" name="ID" dataDxfId="122"/>
  </tableColumns>
  <tableStyleInfo name="TableStyleLight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C000000}" name="StreamConstraints" displayName="StreamConstraints" ref="B4:AB17" totalsRowShown="0" headerRowDxfId="79" dataDxfId="121">
  <autoFilter ref="B4:AB17" xr:uid="{00000000-0009-0000-0100-000008000000}"/>
  <tableColumns count="27">
    <tableColumn id="14" xr3:uid="{00000000-0010-0000-0C00-00000E000000}" name="L" dataDxfId="120" totalsRowDxfId="119">
      <calculatedColumnFormula>IF(StreamConstraints[[#This Row],[Active]]=TRUE,1,0)</calculatedColumnFormula>
    </tableColumn>
    <tableColumn id="8" xr3:uid="{00000000-0010-0000-0C00-000008000000}" name="Active" dataDxfId="118" totalsRowDxfId="117"/>
    <tableColumn id="16" xr3:uid="{00000000-0010-0000-0C00-000010000000}" name="Code" dataDxfId="116"/>
    <tableColumn id="4" xr3:uid="{00000000-0010-0000-0C00-000004000000}" name="Exclude Flag Type" dataDxfId="115"/>
    <tableColumn id="3" xr3:uid="{00000000-0010-0000-0C00-000003000000}" name="Exclude Shipper" dataDxfId="114"/>
    <tableColumn id="2" xr3:uid="{00000000-0010-0000-0C00-000002000000}" name="From Shipper" dataDxfId="113"/>
    <tableColumn id="1" xr3:uid="{00000000-0010-0000-0C00-000001000000}" name="Exclude Site" dataDxfId="112"/>
    <tableColumn id="7" xr3:uid="{00000000-0010-0000-0C00-000007000000}" name="From Site" dataDxfId="111"/>
    <tableColumn id="6" xr3:uid="{00000000-0010-0000-0C00-000006000000}" name="Exclude Transport Method" dataDxfId="110"/>
    <tableColumn id="5" xr3:uid="{00000000-0010-0000-0C00-000005000000}" name="Transport Method" dataDxfId="109"/>
    <tableColumn id="10" xr3:uid="{00000000-0010-0000-0C00-00000A000000}" name="Exclude Material Type" dataDxfId="108"/>
    <tableColumn id="9" xr3:uid="{00000000-0010-0000-0C00-000009000000}" name="Material Type" dataDxfId="107"/>
    <tableColumn id="11" xr3:uid="{00000000-0010-0000-0C00-00000B000000}" name="Exclude Commodity"/>
    <tableColumn id="12" xr3:uid="{00000000-0010-0000-0C00-00000C000000}" name="Commodity" dataDxfId="106"/>
    <tableColumn id="13" xr3:uid="{00000000-0010-0000-0C00-00000D000000}" name="To Shipper" dataDxfId="105"/>
    <tableColumn id="15" xr3:uid="{00000000-0010-0000-0C00-00000F000000}" name="To Site" dataDxfId="104"/>
    <tableColumn id="17" xr3:uid="{00000000-0010-0000-0C00-000011000000}" name="To Stream" dataDxfId="103"/>
    <tableColumn id="20" xr3:uid="{00000000-0010-0000-0C00-000014000000}" name="FromShipperID" dataDxfId="102">
      <calculatedColumnFormula>IF(StreamConstraints[[#This Row],[From Shipper]]="","",INDEX(Shippers[ID],MATCH(StreamConstraints[[#This Row],[From Shipper]],Shippers[Code],0)))</calculatedColumnFormula>
    </tableColumn>
    <tableColumn id="21" xr3:uid="{00000000-0010-0000-0C00-000015000000}" name="FromSiteID" dataDxfId="101">
      <calculatedColumnFormula>IF(StreamConstraints[[#This Row],[From Site]]="","",INDEX(Sites[ID],MATCH(StreamConstraints[[#This Row],[From Site]],Sites[Code],0)))</calculatedColumnFormula>
    </tableColumn>
    <tableColumn id="22" xr3:uid="{00000000-0010-0000-0C00-000016000000}" name="TransportMethodID" dataDxfId="100">
      <calculatedColumnFormula>IF(StreamConstraints[[#This Row],[Transport Method]]="","",INDEX(TransportMethods[ID],MATCH(StreamConstraints[[#This Row],[Transport Method]],TransportMethods[Code],0)))</calculatedColumnFormula>
    </tableColumn>
    <tableColumn id="23" xr3:uid="{00000000-0010-0000-0C00-000017000000}" name="MaterialTypeID" dataDxfId="99">
      <calculatedColumnFormula>IF(StreamConstraints[[#This Row],[Material Type]]="","",INDEX(MaterialTypes[ID],MATCH(StreamConstraints[[#This Row],[Material Type]],MaterialTypes[Code],0)))</calculatedColumnFormula>
    </tableColumn>
    <tableColumn id="24" xr3:uid="{00000000-0010-0000-0C00-000018000000}" name="CommodityID" dataDxfId="98">
      <calculatedColumnFormula>IF(StreamConstraints[[#This Row],[Commodity]]="","",INDEX(Commodities[ID],MATCH(StreamConstraints[[#This Row],[Commodity]],Commodities[Code],0)))</calculatedColumnFormula>
    </tableColumn>
    <tableColumn id="25" xr3:uid="{00000000-0010-0000-0C00-000019000000}" name="ToShipperID" dataDxfId="97">
      <calculatedColumnFormula>IF(StreamConstraints[[#This Row],[To Shipper]]="","",INDEX(Shippers[ID],MATCH(StreamConstraints[[#This Row],[To Shipper]],Shippers[Code],0)))</calculatedColumnFormula>
    </tableColumn>
    <tableColumn id="26" xr3:uid="{00000000-0010-0000-0C00-00001A000000}" name="ToSiteID" dataDxfId="96">
      <calculatedColumnFormula>IF(StreamConstraints[[#This Row],[To Site]]="","",INDEX(Sites[ID],MATCH(StreamConstraints[[#This Row],[To Site]],Sites[Code],0)))</calculatedColumnFormula>
    </tableColumn>
    <tableColumn id="27" xr3:uid="{00000000-0010-0000-0C00-00001B000000}" name="ToStreamID" dataDxfId="95">
      <calculatedColumnFormula>IF(StreamConstraints[[#This Row],[To Stream]]="","",INDEX(Streams[ID],MATCH(StreamConstraints[[#This Row],[To Stream]],Streams[Code],0)))</calculatedColumnFormula>
    </tableColumn>
    <tableColumn id="18" xr3:uid="{00000000-0010-0000-0C00-000012000000}" name="Experiment" dataDxfId="94"/>
    <tableColumn id="19" xr3:uid="{00000000-0010-0000-0C00-000013000000}" name="ID" dataDxfId="93"/>
  </tableColumns>
  <tableStyleInfo name="TableStyleLight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VarList" displayName="VarList" ref="B3:C7" totalsRowShown="0" headerRowDxfId="92">
  <autoFilter ref="B3:C7" xr:uid="{00000000-0009-0000-0100-000013000000}"/>
  <tableColumns count="2">
    <tableColumn id="1" xr3:uid="{00000000-0010-0000-0D00-000001000000}" name="Variable"/>
    <tableColumn id="3" xr3:uid="{00000000-0010-0000-0D00-000003000000}" name="Value"/>
  </tableColumns>
  <tableStyleInfo name="TableStyleLight10" showFirstColumn="0" showLastColumn="0" showRowStripes="0"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E000000}" name="TransportMethods" displayName="TransportMethods" ref="B4:K8" totalsRowShown="0" headerRowDxfId="85">
  <autoFilter ref="B4:K8" xr:uid="{00000000-0009-0000-0100-000006000000}"/>
  <tableColumns count="10">
    <tableColumn id="1" xr3:uid="{00000000-0010-0000-0E00-000001000000}" name="Active"/>
    <tableColumn id="2" xr3:uid="{00000000-0010-0000-0E00-000002000000}" name="Code"/>
    <tableColumn id="3" xr3:uid="{00000000-0010-0000-0E00-000003000000}" name="Name"/>
    <tableColumn id="4" xr3:uid="{00000000-0010-0000-0E00-000004000000}" name="Size"/>
    <tableColumn id="5" xr3:uid="{00000000-0010-0000-0E00-000005000000}" name="MinSize"/>
    <tableColumn id="6" xr3:uid="{00000000-0010-0000-0E00-000006000000}" name="MaxSize"/>
    <tableColumn id="7" xr3:uid="{00000000-0010-0000-0E00-000007000000}" name="DefaultStep"/>
    <tableColumn id="8" xr3:uid="{00000000-0010-0000-0E00-000008000000}" name="optVarType"/>
    <tableColumn id="9" xr3:uid="{00000000-0010-0000-0E00-000009000000}" name="Comments"/>
    <tableColumn id="10" xr3:uid="{00000000-0010-0000-0E00-00000A000000}" name="ID"/>
  </tableColumns>
  <tableStyleInfo name="TableStyleLight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MaterialTypes" displayName="MaterialTypes" ref="B4:M20" totalsRowShown="0" headerRowDxfId="84">
  <autoFilter ref="B4:M20" xr:uid="{00000000-0009-0000-0100-00000D000000}"/>
  <tableColumns count="12">
    <tableColumn id="1" xr3:uid="{00000000-0010-0000-0F00-000001000000}" name="Active"/>
    <tableColumn id="2" xr3:uid="{00000000-0010-0000-0F00-000002000000}" name="Code"/>
    <tableColumn id="3" xr3:uid="{00000000-0010-0000-0F00-000003000000}" name="Name"/>
    <tableColumn id="4" xr3:uid="{00000000-0010-0000-0F00-000004000000}" name="ProducType"/>
    <tableColumn id="5" xr3:uid="{00000000-0010-0000-0F00-000005000000}" name="Grade"/>
    <tableColumn id="6" xr3:uid="{00000000-0010-0000-0F00-000006000000}" name="Process"/>
    <tableColumn id="7" xr3:uid="{00000000-0010-0000-0F00-000007000000}" name="Sort Order"/>
    <tableColumn id="8" xr3:uid="{00000000-0010-0000-0F00-000008000000}" name="Default Min Sulfur"/>
    <tableColumn id="9" xr3:uid="{00000000-0010-0000-0F00-000009000000}" name="Default Max Sulfur"/>
    <tableColumn id="10" xr3:uid="{00000000-0010-0000-0F00-00000A000000}" name="Default Min Density"/>
    <tableColumn id="11" xr3:uid="{00000000-0010-0000-0F00-00000B000000}" name="Default Max Density"/>
    <tableColumn id="12" xr3:uid="{00000000-0010-0000-0F00-00000C000000}" name="ID"/>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0000000}" name="ProductTypes" displayName="ProductTypes" ref="B4:E8" totalsRowShown="0" headerRowDxfId="83">
  <autoFilter ref="B4:E8" xr:uid="{00000000-0009-0000-0100-00000F000000}"/>
  <tableColumns count="4">
    <tableColumn id="1" xr3:uid="{00000000-0010-0000-1000-000001000000}" name="Code"/>
    <tableColumn id="2" xr3:uid="{00000000-0010-0000-1000-000002000000}" name="Active"/>
    <tableColumn id="3" xr3:uid="{00000000-0010-0000-1000-000003000000}" name="Name"/>
    <tableColumn id="4" xr3:uid="{00000000-0010-0000-1000-000004000000}"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R11"/>
  <sheetViews>
    <sheetView showGridLines="0" tabSelected="1" topLeftCell="B1" zoomScaleNormal="100" workbookViewId="0">
      <selection activeCell="O14" sqref="O14"/>
    </sheetView>
  </sheetViews>
  <sheetFormatPr defaultRowHeight="15"/>
  <cols>
    <col min="1" max="1" width="2.7109375" customWidth="1"/>
    <col min="2" max="2" width="6.85546875" customWidth="1"/>
    <col min="3" max="3" width="11.140625" customWidth="1"/>
    <col min="4" max="4" width="21.85546875" customWidth="1"/>
    <col min="5" max="5" width="34.28515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hidden="1" customWidth="1"/>
    <col min="18" max="18" width="9.140625" hidden="1" customWidth="1"/>
  </cols>
  <sheetData>
    <row r="1" spans="2:18" s="2" customFormat="1" ht="57" customHeight="1" thickBot="1">
      <c r="F1" s="2" t="s">
        <v>282</v>
      </c>
      <c r="R1" s="28"/>
    </row>
    <row r="2" spans="2:18" s="4" customFormat="1" ht="15.75" thickTop="1"/>
    <row r="3" spans="2:18" ht="20.45" customHeight="1">
      <c r="B3" s="105" t="s">
        <v>20</v>
      </c>
      <c r="C3" s="105"/>
      <c r="D3" s="105"/>
      <c r="E3" s="105"/>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75" t="s">
        <v>10</v>
      </c>
      <c r="C8" s="69" t="s">
        <v>1</v>
      </c>
      <c r="D8" s="69" t="s">
        <v>0</v>
      </c>
      <c r="E8" s="69" t="s">
        <v>3</v>
      </c>
      <c r="F8" s="69" t="s">
        <v>5</v>
      </c>
      <c r="G8" s="69" t="s">
        <v>19</v>
      </c>
      <c r="H8" s="69" t="s">
        <v>23</v>
      </c>
      <c r="I8" s="69" t="s">
        <v>24</v>
      </c>
      <c r="J8" s="69" t="s">
        <v>25</v>
      </c>
      <c r="K8" s="69" t="s">
        <v>26</v>
      </c>
      <c r="L8" s="69" t="s">
        <v>27</v>
      </c>
      <c r="M8" s="69" t="s">
        <v>28</v>
      </c>
      <c r="N8" s="69" t="s">
        <v>29</v>
      </c>
      <c r="O8" s="69" t="s">
        <v>138</v>
      </c>
      <c r="P8" s="69" t="s">
        <v>139</v>
      </c>
      <c r="Q8" s="69" t="s">
        <v>258</v>
      </c>
      <c r="R8" s="17" t="s">
        <v>17</v>
      </c>
    </row>
    <row r="9" spans="2:18">
      <c r="B9" s="72">
        <f>IF(Experiments[[#This Row],[Active]]=TRUE,1,0)</f>
        <v>1</v>
      </c>
      <c r="C9" s="72" t="b">
        <v>1</v>
      </c>
      <c r="D9" s="73" t="s">
        <v>283</v>
      </c>
      <c r="E9" s="73" t="s">
        <v>284</v>
      </c>
      <c r="F9" s="73" t="s">
        <v>285</v>
      </c>
      <c r="G9" s="70" t="s">
        <v>21</v>
      </c>
      <c r="H9" s="70" t="b">
        <v>0</v>
      </c>
      <c r="I9" s="74">
        <v>10000</v>
      </c>
      <c r="J9" s="74">
        <v>5</v>
      </c>
      <c r="K9" s="74">
        <v>1.3190999999999999</v>
      </c>
      <c r="L9" s="74">
        <v>2017</v>
      </c>
      <c r="M9" s="74">
        <v>1</v>
      </c>
      <c r="N9" s="70">
        <v>6.2928699999999997</v>
      </c>
      <c r="O9" s="72" t="b">
        <v>0</v>
      </c>
      <c r="P9" s="72" t="b">
        <v>0</v>
      </c>
      <c r="Q9" s="72" t="b">
        <v>0</v>
      </c>
      <c r="R9" s="15">
        <v>5</v>
      </c>
    </row>
    <row r="10" spans="2:18">
      <c r="B10" s="7">
        <f>IF(Experiments[[#This Row],[Active]]=TRUE,1,0)</f>
        <v>1</v>
      </c>
      <c r="C10" s="7" t="b">
        <v>1</v>
      </c>
      <c r="D10" s="82" t="s">
        <v>286</v>
      </c>
      <c r="E10" s="82" t="s">
        <v>287</v>
      </c>
      <c r="F10" s="82" t="s">
        <v>288</v>
      </c>
      <c r="G10" s="83" t="s">
        <v>21</v>
      </c>
      <c r="H10" s="83" t="b">
        <v>0</v>
      </c>
      <c r="I10" s="84">
        <v>10000</v>
      </c>
      <c r="J10" s="84">
        <v>5</v>
      </c>
      <c r="K10" s="84">
        <v>1.3248</v>
      </c>
      <c r="L10" s="84">
        <v>2017</v>
      </c>
      <c r="M10" s="84">
        <v>3</v>
      </c>
      <c r="N10" s="83">
        <v>6.2928699999999997</v>
      </c>
      <c r="O10" s="7" t="b">
        <v>0</v>
      </c>
      <c r="P10" s="7" t="b">
        <v>0</v>
      </c>
      <c r="Q10" s="7" t="b">
        <v>0</v>
      </c>
      <c r="R10" s="15">
        <v>11</v>
      </c>
    </row>
    <row r="11" spans="2:18">
      <c r="B11" s="7">
        <f>IF(Experiments[[#This Row],[Active]]=TRUE,1,0)</f>
        <v>1</v>
      </c>
      <c r="C11" s="7" t="b">
        <v>1</v>
      </c>
      <c r="D11" s="82" t="s">
        <v>289</v>
      </c>
      <c r="E11" s="82" t="s">
        <v>290</v>
      </c>
      <c r="F11" s="82" t="s">
        <v>291</v>
      </c>
      <c r="G11" s="83" t="s">
        <v>21</v>
      </c>
      <c r="H11" s="83" t="b">
        <v>0</v>
      </c>
      <c r="I11" s="84">
        <v>10000</v>
      </c>
      <c r="J11" s="84">
        <v>5</v>
      </c>
      <c r="K11" s="84">
        <v>1.3444</v>
      </c>
      <c r="L11" s="84">
        <v>2017</v>
      </c>
      <c r="M11" s="84">
        <v>6</v>
      </c>
      <c r="N11" s="83">
        <v>6.2928699999999997</v>
      </c>
      <c r="O11" s="7" t="b">
        <v>0</v>
      </c>
      <c r="P11" s="7" t="b">
        <v>0</v>
      </c>
      <c r="Q11" s="7" t="b">
        <v>1</v>
      </c>
      <c r="R11" s="15">
        <v>43</v>
      </c>
    </row>
  </sheetData>
  <dataConsolidate/>
  <mergeCells count="1">
    <mergeCell ref="B3:E3"/>
  </mergeCells>
  <conditionalFormatting sqref="B9:H11 N9:Q11">
    <cfRule type="expression" dxfId="76" priority="19">
      <formula>$C9 = FALSE</formula>
    </cfRule>
  </conditionalFormatting>
  <conditionalFormatting sqref="C9:C11 Q9:Q11">
    <cfRule type="cellIs" dxfId="75" priority="34873" operator="equal">
      <formula>TRUE</formula>
    </cfRule>
    <cfRule type="cellIs" dxfId="74" priority="34874" operator="equal">
      <formula>FALSE</formula>
    </cfRule>
  </conditionalFormatting>
  <conditionalFormatting sqref="H9:H11">
    <cfRule type="cellIs" dxfId="73" priority="7" operator="equal">
      <formula>TRUE</formula>
    </cfRule>
    <cfRule type="cellIs" dxfId="72" priority="8" operator="equal">
      <formula>FALSE</formula>
    </cfRule>
  </conditionalFormatting>
  <conditionalFormatting sqref="P9:P11">
    <cfRule type="cellIs" dxfId="71" priority="4" operator="equal">
      <formula>TRUE</formula>
    </cfRule>
    <cfRule type="cellIs" dxfId="70" priority="5" operator="equal">
      <formula>FALSE</formula>
    </cfRule>
  </conditionalFormatting>
  <conditionalFormatting sqref="O9:O11">
    <cfRule type="cellIs" dxfId="69" priority="1" operator="equal">
      <formula>TRUE</formula>
    </cfRule>
    <cfRule type="cellIs" dxfId="68" priority="2" operator="equal">
      <formula>FALSE</formula>
    </cfRule>
  </conditionalFormatting>
  <conditionalFormatting sqref="D9:D11">
    <cfRule type="duplicateValues" dxfId="67" priority="49330"/>
  </conditionalFormatting>
  <dataValidations count="3">
    <dataValidation type="list" allowBlank="1" showInputMessage="1" showErrorMessage="1" sqref="C9:C11" xr:uid="{00000000-0002-0000-0000-000000000000}">
      <formula1>"TRUE,FALSE"</formula1>
    </dataValidation>
    <dataValidation type="list" allowBlank="1" showInputMessage="1" showErrorMessage="1" sqref="H9:H11 O9:Q11" xr:uid="{00000000-0002-0000-0000-000001000000}">
      <formula1>"TRUE, FALSE"</formula1>
    </dataValidation>
    <dataValidation type="whole" showInputMessage="1" showErrorMessage="1" sqref="M9:M11" xr:uid="{00000000-0002-0000-0000-000002000000}">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r:id="rId5">
            <anchor>
              <from>
                <xdr:col>2</xdr:col>
                <xdr:colOff>600075</xdr:colOff>
                <xdr:row>5</xdr:row>
                <xdr:rowOff>47625</xdr:rowOff>
              </from>
              <to>
                <xdr:col>3</xdr:col>
                <xdr:colOff>790575</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r:id="rId7">
            <anchor>
              <from>
                <xdr:col>0</xdr:col>
                <xdr:colOff>171450</xdr:colOff>
                <xdr:row>5</xdr:row>
                <xdr:rowOff>47625</xdr:rowOff>
              </from>
              <to>
                <xdr:col>2</xdr:col>
                <xdr:colOff>457200</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r:id="rId9">
            <anchor>
              <from>
                <xdr:col>4</xdr:col>
                <xdr:colOff>542925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r:id="rId13">
            <anchor>
              <from>
                <xdr:col>3</xdr:col>
                <xdr:colOff>933450</xdr:colOff>
                <xdr:row>5</xdr:row>
                <xdr:rowOff>47625</xdr:rowOff>
              </from>
              <to>
                <xdr:col>4</xdr:col>
                <xdr:colOff>400050</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9331"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B9:C11</xm:sqref>
        </x14:conditionalFormatting>
        <x14:conditionalFormatting xmlns:xm="http://schemas.microsoft.com/office/excel/2006/main">
          <x14:cfRule type="iconSet" priority="49332"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H9:H11</xm:sqref>
        </x14:conditionalFormatting>
        <x14:conditionalFormatting xmlns:xm="http://schemas.microsoft.com/office/excel/2006/main">
          <x14:cfRule type="iconSet" priority="49333"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P9:Q11</xm:sqref>
        </x14:conditionalFormatting>
        <x14:conditionalFormatting xmlns:xm="http://schemas.microsoft.com/office/excel/2006/main">
          <x14:cfRule type="iconSet" priority="49334"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O9:O11</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FFFF00"/>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I20" sqref="I20"/>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hidden="1" customWidth="1"/>
    <col min="11" max="11" width="7.42578125" hidden="1"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3" t="s">
        <v>127</v>
      </c>
      <c r="C2" s="63"/>
      <c r="D2" s="63"/>
      <c r="E2" s="63"/>
      <c r="F2" s="24"/>
      <c r="G2" s="24"/>
      <c r="H2" s="24"/>
    </row>
    <row r="3" spans="1:16" s="4" customFormat="1" ht="9" customHeight="1" thickTop="1">
      <c r="A3" s="22"/>
      <c r="C3" s="21"/>
    </row>
    <row r="4" spans="1:16" s="13" customFormat="1" ht="15" customHeight="1">
      <c r="A4" s="22"/>
      <c r="B4" s="20" t="s">
        <v>11</v>
      </c>
      <c r="C4" s="19" t="s">
        <v>1</v>
      </c>
      <c r="D4" s="19" t="s">
        <v>0</v>
      </c>
      <c r="E4" s="19" t="s">
        <v>22</v>
      </c>
      <c r="F4" s="19" t="s">
        <v>124</v>
      </c>
      <c r="G4" s="19" t="s">
        <v>125</v>
      </c>
      <c r="H4" s="19" t="s">
        <v>126</v>
      </c>
      <c r="I4" s="19" t="s">
        <v>4</v>
      </c>
      <c r="J4" s="19" t="s">
        <v>2</v>
      </c>
      <c r="K4" s="19" t="s">
        <v>17</v>
      </c>
    </row>
    <row r="5" spans="1:16">
      <c r="A5" s="23"/>
      <c r="B5" s="26">
        <f>IF(OptObjective[[#This Row],[Active]]=TRUE,1,0)</f>
        <v>0</v>
      </c>
      <c r="C5" s="27" t="b">
        <v>0</v>
      </c>
      <c r="D5" s="25" t="s">
        <v>246</v>
      </c>
      <c r="E5" s="35">
        <v>7</v>
      </c>
      <c r="F5" s="35" t="s">
        <v>246</v>
      </c>
      <c r="G5" s="35" t="s">
        <v>243</v>
      </c>
      <c r="H5" s="35">
        <v>1</v>
      </c>
      <c r="I5" s="30"/>
      <c r="J5" s="30">
        <v>43</v>
      </c>
      <c r="K5" s="32">
        <v>316</v>
      </c>
    </row>
    <row r="6" spans="1:16">
      <c r="B6" s="94">
        <f>IF(OptObjective[[#This Row],[Active]]=TRUE,1,0)</f>
        <v>1</v>
      </c>
      <c r="C6" s="95" t="b">
        <v>1</v>
      </c>
      <c r="D6" s="94" t="s">
        <v>247</v>
      </c>
      <c r="E6" s="96">
        <v>5</v>
      </c>
      <c r="F6" s="96" t="s">
        <v>247</v>
      </c>
      <c r="G6" s="96" t="s">
        <v>243</v>
      </c>
      <c r="H6" s="96">
        <v>1</v>
      </c>
      <c r="I6" s="97"/>
      <c r="J6" s="97">
        <v>43</v>
      </c>
      <c r="K6" s="98">
        <v>317</v>
      </c>
    </row>
    <row r="7" spans="1:16">
      <c r="B7" s="94">
        <f>IF(OptObjective[[#This Row],[Active]]=TRUE,1,0)</f>
        <v>0</v>
      </c>
      <c r="C7" s="95" t="b">
        <v>0</v>
      </c>
      <c r="D7" s="94" t="s">
        <v>248</v>
      </c>
      <c r="E7" s="96">
        <v>6</v>
      </c>
      <c r="F7" s="96" t="s">
        <v>248</v>
      </c>
      <c r="G7" s="96" t="s">
        <v>243</v>
      </c>
      <c r="H7" s="96">
        <v>1</v>
      </c>
      <c r="I7" s="97"/>
      <c r="J7" s="97">
        <v>43</v>
      </c>
      <c r="K7" s="98">
        <v>318</v>
      </c>
    </row>
    <row r="8" spans="1:16">
      <c r="B8" s="94">
        <f>IF(OptObjective[[#This Row],[Active]]=TRUE,1,0)</f>
        <v>0</v>
      </c>
      <c r="C8" s="95" t="b">
        <v>0</v>
      </c>
      <c r="D8" s="94" t="s">
        <v>244</v>
      </c>
      <c r="E8" s="96">
        <v>2</v>
      </c>
      <c r="F8" s="96" t="s">
        <v>244</v>
      </c>
      <c r="G8" s="96" t="s">
        <v>243</v>
      </c>
      <c r="H8" s="96">
        <v>1</v>
      </c>
      <c r="I8" s="97"/>
      <c r="J8" s="97">
        <v>43</v>
      </c>
      <c r="K8" s="98">
        <v>319</v>
      </c>
    </row>
    <row r="9" spans="1:16">
      <c r="B9" s="94">
        <f>IF(OptObjective[[#This Row],[Active]]=TRUE,1,0)</f>
        <v>0</v>
      </c>
      <c r="C9" s="95" t="b">
        <v>0</v>
      </c>
      <c r="D9" s="94" t="s">
        <v>241</v>
      </c>
      <c r="E9" s="96">
        <v>3</v>
      </c>
      <c r="F9" s="96" t="s">
        <v>242</v>
      </c>
      <c r="G9" s="96" t="s">
        <v>243</v>
      </c>
      <c r="H9" s="96">
        <v>1</v>
      </c>
      <c r="I9" s="97"/>
      <c r="J9" s="97">
        <v>43</v>
      </c>
      <c r="K9" s="98">
        <v>320</v>
      </c>
    </row>
    <row r="10" spans="1:16">
      <c r="B10" s="94">
        <f>IF(OptObjective[[#This Row],[Active]]=TRUE,1,0)</f>
        <v>0</v>
      </c>
      <c r="C10" s="95" t="b">
        <v>0</v>
      </c>
      <c r="D10" s="94" t="s">
        <v>239</v>
      </c>
      <c r="E10" s="96">
        <v>1</v>
      </c>
      <c r="F10" s="96" t="s">
        <v>240</v>
      </c>
      <c r="G10" s="96" t="s">
        <v>238</v>
      </c>
      <c r="H10" s="96">
        <v>1</v>
      </c>
      <c r="I10" s="97"/>
      <c r="J10" s="97">
        <v>43</v>
      </c>
      <c r="K10" s="98">
        <v>321</v>
      </c>
    </row>
    <row r="11" spans="1:16">
      <c r="B11" s="94">
        <f>IF(OptObjective[[#This Row],[Active]]=TRUE,1,0)</f>
        <v>0</v>
      </c>
      <c r="C11" s="95" t="b">
        <v>0</v>
      </c>
      <c r="D11" s="94" t="s">
        <v>245</v>
      </c>
      <c r="E11" s="96">
        <v>4</v>
      </c>
      <c r="F11" s="96" t="s">
        <v>245</v>
      </c>
      <c r="G11" s="96" t="s">
        <v>243</v>
      </c>
      <c r="H11" s="96">
        <v>1</v>
      </c>
      <c r="I11" s="97"/>
      <c r="J11" s="97">
        <v>43</v>
      </c>
      <c r="K11" s="98">
        <v>322</v>
      </c>
    </row>
    <row r="12" spans="1:16">
      <c r="B12" s="94">
        <f>IF(OptObjective[[#This Row],[Active]]=TRUE,1,0)</f>
        <v>1</v>
      </c>
      <c r="C12" s="95" t="b">
        <v>1</v>
      </c>
      <c r="D12" s="94" t="s">
        <v>119</v>
      </c>
      <c r="E12" s="96">
        <v>0</v>
      </c>
      <c r="F12" s="96" t="s">
        <v>237</v>
      </c>
      <c r="G12" s="96" t="s">
        <v>238</v>
      </c>
      <c r="H12" s="96">
        <v>1</v>
      </c>
      <c r="I12" s="97"/>
      <c r="J12" s="97">
        <v>43</v>
      </c>
      <c r="K12" s="98">
        <v>323</v>
      </c>
    </row>
  </sheetData>
  <dataConsolidate/>
  <conditionalFormatting sqref="B5:K12">
    <cfRule type="expression" dxfId="66" priority="1">
      <formula>$C5 = FALSE</formula>
    </cfRule>
  </conditionalFormatting>
  <conditionalFormatting sqref="C5:C12">
    <cfRule type="containsText" dxfId="65" priority="2" operator="containsText" text="TRUE">
      <formula>NOT(ISERROR(SEARCH("TRUE",C5)))</formula>
    </cfRule>
    <cfRule type="containsText" dxfId="64" priority="3" operator="containsText" text="FALSE">
      <formula>NOT(ISERROR(SEARCH("FALSE",C5)))</formula>
    </cfRule>
  </conditionalFormatting>
  <dataValidations count="3">
    <dataValidation type="list" allowBlank="1" showInputMessage="1" showErrorMessage="1" sqref="C5:C12" xr:uid="{00000000-0002-0000-0100-000000000000}">
      <formula1>"TRUE, FALSE"</formula1>
    </dataValidation>
    <dataValidation type="list" allowBlank="1" showInputMessage="1" showErrorMessage="1" sqref="F5:F12" xr:uid="{00000000-0002-0000-0100-000001000000}">
      <formula1>"REVENEUE_STANDARD_DEVIATION, MEAN_REVENUE, POSITIVE_REVENUE_PERCENT, NEGATIVE_REVENUE_PERCENT, MEAN_TVP, MEAN_DENSITY, MEAN_SULFUR, CUSTOM_RISK_INDEX"</formula1>
    </dataValidation>
    <dataValidation type="list" allowBlank="1" showInputMessage="1" showErrorMessage="1" sqref="G5:G12" xr:uid="{00000000-0002-0000-0100-000002000000}">
      <formula1>"MINIMIZE, MAXIMIZE"</formula1>
    </dataValidation>
  </dataValidations>
  <pageMargins left="0.7" right="0.7" top="0.75" bottom="0.75" header="0.3" footer="0.3"/>
  <pageSetup scale="59"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36"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FF00"/>
    <pageSetUpPr fitToPage="1"/>
  </sheetPr>
  <dimension ref="A1:Q11"/>
  <sheetViews>
    <sheetView showGridLines="0" topLeftCell="A2" zoomScaleNormal="100" workbookViewId="0">
      <pane xSplit="1" ySplit="3" topLeftCell="E5" activePane="bottomRight" state="frozen"/>
      <selection activeCell="E21" sqref="E21"/>
      <selection pane="topRight" activeCell="E21" sqref="E21"/>
      <selection pane="bottomLeft" activeCell="E21" sqref="E21"/>
      <selection pane="bottomRight" activeCell="K17" sqref="K17"/>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106" t="s">
        <v>157</v>
      </c>
      <c r="C2" s="106"/>
      <c r="D2" s="106"/>
      <c r="E2" s="106"/>
      <c r="F2" s="24"/>
    </row>
    <row r="3" spans="1:17" s="4" customFormat="1" ht="9" customHeight="1" thickTop="1">
      <c r="A3" s="22"/>
      <c r="C3" s="21"/>
    </row>
    <row r="4" spans="1:17" s="13" customFormat="1" ht="15" customHeight="1">
      <c r="A4" s="22"/>
      <c r="B4" s="77" t="s">
        <v>11</v>
      </c>
      <c r="C4" s="78" t="s">
        <v>1</v>
      </c>
      <c r="D4" s="78" t="s">
        <v>0</v>
      </c>
      <c r="E4" s="78" t="s">
        <v>3</v>
      </c>
      <c r="F4" s="78" t="s">
        <v>162</v>
      </c>
      <c r="G4" s="78" t="s">
        <v>75</v>
      </c>
      <c r="H4" s="78" t="s">
        <v>45</v>
      </c>
      <c r="I4" s="78" t="s">
        <v>159</v>
      </c>
      <c r="J4" s="78" t="s">
        <v>158</v>
      </c>
      <c r="K4" s="78" t="s">
        <v>4</v>
      </c>
      <c r="L4" s="19" t="s">
        <v>201</v>
      </c>
      <c r="M4" s="19" t="s">
        <v>202</v>
      </c>
      <c r="N4" s="19" t="s">
        <v>17</v>
      </c>
    </row>
    <row r="5" spans="1:17">
      <c r="A5" s="23"/>
      <c r="B5" s="79">
        <f>IF(Commodities[[#This Row],[Active]]=TRUE,1,0)</f>
        <v>1</v>
      </c>
      <c r="C5" s="80" t="b">
        <v>1</v>
      </c>
      <c r="D5" s="81" t="s">
        <v>140</v>
      </c>
      <c r="E5" s="71" t="s">
        <v>165</v>
      </c>
      <c r="F5" s="76"/>
      <c r="G5" s="80" t="b">
        <v>0</v>
      </c>
      <c r="H5" s="76" t="s">
        <v>140</v>
      </c>
      <c r="I5" s="76" t="s">
        <v>196</v>
      </c>
      <c r="J5" s="80" t="b">
        <v>0</v>
      </c>
      <c r="K5" s="71"/>
      <c r="L5" s="35">
        <f>IF(Commodities[[#This Row],[Material Type]]="","",INDEX(MaterialTypes[ID],MATCH(Commodities[[#This Row],[Material Type]],MaterialTypes[Code],0)))</f>
        <v>14</v>
      </c>
      <c r="M5" s="35">
        <f>IF(Commodities[[#This Row],[Product Type]]="","",INDEX(ProductTypes[ID],MATCH(Commodities[[#This Row],[Product Type]],ProductTypes[Code],0)))</f>
        <v>13</v>
      </c>
      <c r="N5" s="32">
        <v>910</v>
      </c>
    </row>
    <row r="6" spans="1:17">
      <c r="B6" s="94">
        <f>IF(Commodities[[#This Row],[Active]]=TRUE,1,0)</f>
        <v>1</v>
      </c>
      <c r="C6" s="95" t="b">
        <v>1</v>
      </c>
      <c r="D6" s="94" t="s">
        <v>166</v>
      </c>
      <c r="E6" s="97" t="s">
        <v>167</v>
      </c>
      <c r="F6" s="35"/>
      <c r="G6" s="99" t="b">
        <v>1</v>
      </c>
      <c r="H6" s="96" t="s">
        <v>166</v>
      </c>
      <c r="I6" s="96" t="s">
        <v>197</v>
      </c>
      <c r="J6" s="99" t="b">
        <v>0</v>
      </c>
      <c r="K6" s="97"/>
      <c r="L6" s="96">
        <f>IF(Commodities[[#This Row],[Material Type]]="","",INDEX(MaterialTypes[ID],MATCH(Commodities[[#This Row],[Material Type]],MaterialTypes[Code],0)))</f>
        <v>16</v>
      </c>
      <c r="M6" s="96">
        <f>IF(Commodities[[#This Row],[Product Type]]="","",INDEX(ProductTypes[ID],MATCH(Commodities[[#This Row],[Product Type]],ProductTypes[Code],0)))</f>
        <v>14</v>
      </c>
      <c r="N6" s="98">
        <v>911</v>
      </c>
    </row>
    <row r="7" spans="1:17">
      <c r="B7" s="94">
        <f>IF(Commodities[[#This Row],[Active]]=TRUE,1,0)</f>
        <v>1</v>
      </c>
      <c r="C7" s="95" t="b">
        <v>1</v>
      </c>
      <c r="D7" s="94" t="s">
        <v>89</v>
      </c>
      <c r="E7" s="97" t="s">
        <v>89</v>
      </c>
      <c r="F7" s="35"/>
      <c r="G7" s="99" t="b">
        <v>1</v>
      </c>
      <c r="H7" s="96" t="s">
        <v>183</v>
      </c>
      <c r="I7" s="96" t="s">
        <v>198</v>
      </c>
      <c r="J7" s="99" t="b">
        <v>0</v>
      </c>
      <c r="K7" s="97"/>
      <c r="L7" s="96">
        <f>IF(Commodities[[#This Row],[Material Type]]="","",INDEX(MaterialTypes[ID],MATCH(Commodities[[#This Row],[Material Type]],MaterialTypes[Code],0)))</f>
        <v>8</v>
      </c>
      <c r="M7" s="96">
        <f>IF(Commodities[[#This Row],[Product Type]]="","",INDEX(ProductTypes[ID],MATCH(Commodities[[#This Row],[Product Type]],ProductTypes[Code],0)))</f>
        <v>15</v>
      </c>
      <c r="N7" s="98">
        <v>912</v>
      </c>
    </row>
    <row r="8" spans="1:17">
      <c r="B8" s="94">
        <f>IF(Commodities[[#This Row],[Active]]=TRUE,1,0)</f>
        <v>1</v>
      </c>
      <c r="C8" s="95" t="b">
        <v>1</v>
      </c>
      <c r="D8" s="94" t="s">
        <v>69</v>
      </c>
      <c r="E8" s="97" t="s">
        <v>69</v>
      </c>
      <c r="F8" s="35"/>
      <c r="G8" s="99" t="b">
        <v>1</v>
      </c>
      <c r="H8" s="96" t="s">
        <v>191</v>
      </c>
      <c r="I8" s="96" t="s">
        <v>198</v>
      </c>
      <c r="J8" s="99" t="b">
        <v>0</v>
      </c>
      <c r="K8" s="97"/>
      <c r="L8" s="96">
        <f>IF(Commodities[[#This Row],[Material Type]]="","",INDEX(MaterialTypes[ID],MATCH(Commodities[[#This Row],[Material Type]],MaterialTypes[Code],0)))</f>
        <v>15</v>
      </c>
      <c r="M8" s="96">
        <f>IF(Commodities[[#This Row],[Product Type]]="","",INDEX(ProductTypes[ID],MATCH(Commodities[[#This Row],[Product Type]],ProductTypes[Code],0)))</f>
        <v>15</v>
      </c>
      <c r="N8" s="98">
        <v>913</v>
      </c>
    </row>
    <row r="9" spans="1:17">
      <c r="B9" s="94">
        <f>IF(Commodities[[#This Row],[Active]]=TRUE,1,0)</f>
        <v>1</v>
      </c>
      <c r="C9" s="95" t="b">
        <v>1</v>
      </c>
      <c r="D9" s="94" t="s">
        <v>163</v>
      </c>
      <c r="E9" s="97" t="s">
        <v>164</v>
      </c>
      <c r="F9" s="35"/>
      <c r="G9" s="99" t="b">
        <v>1</v>
      </c>
      <c r="H9" s="96" t="s">
        <v>56</v>
      </c>
      <c r="I9" s="96" t="s">
        <v>198</v>
      </c>
      <c r="J9" s="99" t="b">
        <v>0</v>
      </c>
      <c r="K9" s="97"/>
      <c r="L9" s="96">
        <f>IF(Commodities[[#This Row],[Material Type]]="","",INDEX(MaterialTypes[ID],MATCH(Commodities[[#This Row],[Material Type]],MaterialTypes[Code],0)))</f>
        <v>9</v>
      </c>
      <c r="M9" s="96">
        <f>IF(Commodities[[#This Row],[Product Type]]="","",INDEX(ProductTypes[ID],MATCH(Commodities[[#This Row],[Product Type]],ProductTypes[Code],0)))</f>
        <v>15</v>
      </c>
      <c r="N9" s="98">
        <v>893</v>
      </c>
    </row>
    <row r="10" spans="1:17">
      <c r="B10" s="94">
        <f>IF(Commodities[[#This Row],[Active]]=TRUE,1,0)</f>
        <v>1</v>
      </c>
      <c r="C10" s="95" t="b">
        <v>1</v>
      </c>
      <c r="D10" s="94" t="s">
        <v>168</v>
      </c>
      <c r="E10" s="97" t="s">
        <v>169</v>
      </c>
      <c r="F10" s="35"/>
      <c r="G10" s="99" t="b">
        <v>1</v>
      </c>
      <c r="H10" s="96" t="s">
        <v>171</v>
      </c>
      <c r="I10" s="96" t="s">
        <v>198</v>
      </c>
      <c r="J10" s="99" t="b">
        <v>1</v>
      </c>
      <c r="K10" s="97"/>
      <c r="L10" s="96">
        <f>IF(Commodities[[#This Row],[Material Type]]="","",INDEX(MaterialTypes[ID],MATCH(Commodities[[#This Row],[Material Type]],MaterialTypes[Code],0)))</f>
        <v>2</v>
      </c>
      <c r="M10" s="96">
        <f>IF(Commodities[[#This Row],[Product Type]]="","",INDEX(ProductTypes[ID],MATCH(Commodities[[#This Row],[Product Type]],ProductTypes[Code],0)))</f>
        <v>15</v>
      </c>
      <c r="N10" s="98">
        <v>914</v>
      </c>
    </row>
    <row r="11" spans="1:17">
      <c r="B11" s="94">
        <f>IF(Commodities[[#This Row],[Active]]=TRUE,1,0)</f>
        <v>1</v>
      </c>
      <c r="C11" s="95" t="b">
        <v>1</v>
      </c>
      <c r="D11" s="94" t="s">
        <v>57</v>
      </c>
      <c r="E11" s="97" t="s">
        <v>170</v>
      </c>
      <c r="F11" s="35"/>
      <c r="G11" s="99" t="b">
        <v>1</v>
      </c>
      <c r="H11" s="96" t="s">
        <v>56</v>
      </c>
      <c r="I11" s="96" t="s">
        <v>198</v>
      </c>
      <c r="J11" s="99" t="b">
        <v>1</v>
      </c>
      <c r="K11" s="97"/>
      <c r="L11" s="96">
        <f>IF(Commodities[[#This Row],[Material Type]]="","",INDEX(MaterialTypes[ID],MATCH(Commodities[[#This Row],[Material Type]],MaterialTypes[Code],0)))</f>
        <v>9</v>
      </c>
      <c r="M11" s="96">
        <f>IF(Commodities[[#This Row],[Product Type]]="","",INDEX(ProductTypes[ID],MATCH(Commodities[[#This Row],[Product Type]],ProductTypes[Code],0)))</f>
        <v>15</v>
      </c>
      <c r="N11" s="98">
        <v>915</v>
      </c>
    </row>
  </sheetData>
  <dataConsolidate/>
  <mergeCells count="1">
    <mergeCell ref="B2:E2"/>
  </mergeCells>
  <conditionalFormatting sqref="B5:N11">
    <cfRule type="expression" dxfId="63" priority="5">
      <formula>$C5 = FALSE</formula>
    </cfRule>
  </conditionalFormatting>
  <conditionalFormatting sqref="C5:C11">
    <cfRule type="containsText" dxfId="62" priority="6" operator="containsText" text="TRUE">
      <formula>NOT(ISERROR(SEARCH("TRUE",C5)))</formula>
    </cfRule>
    <cfRule type="containsText" dxfId="61" priority="7" operator="containsText" text="FALSE">
      <formula>NOT(ISERROR(SEARCH("FALSE",C5)))</formula>
    </cfRule>
  </conditionalFormatting>
  <conditionalFormatting sqref="G5:G11">
    <cfRule type="containsText" dxfId="60" priority="3" operator="containsText" text="TRUE">
      <formula>NOT(ISERROR(SEARCH("TRUE",G5)))</formula>
    </cfRule>
    <cfRule type="containsText" dxfId="59" priority="4" operator="containsText" text="FALSE">
      <formula>NOT(ISERROR(SEARCH("FALSE",G5)))</formula>
    </cfRule>
  </conditionalFormatting>
  <conditionalFormatting sqref="J5:J11">
    <cfRule type="containsText" dxfId="58" priority="1" operator="containsText" text="TRUE">
      <formula>NOT(ISERROR(SEARCH("TRUE",J5)))</formula>
    </cfRule>
    <cfRule type="containsText" dxfId="57" priority="2" operator="containsText" text="FALSE">
      <formula>NOT(ISERROR(SEARCH("FALSE",J5)))</formula>
    </cfRule>
  </conditionalFormatting>
  <dataValidations count="3">
    <dataValidation type="list" allowBlank="1" showInputMessage="1" showErrorMessage="1" sqref="C5:C11 J5:J11 G5:G11" xr:uid="{00000000-0002-0000-0200-000000000000}">
      <formula1>"TRUE, FALSE"</formula1>
    </dataValidation>
    <dataValidation type="list" allowBlank="1" showInputMessage="1" showErrorMessage="1" sqref="H5:H11" xr:uid="{00000000-0002-0000-0200-000001000000}">
      <formula1>INDIRECT("MaterialTypes[Code]")</formula1>
    </dataValidation>
    <dataValidation type="list" allowBlank="1" showInputMessage="1" showErrorMessage="1" sqref="I5:I11" xr:uid="{00000000-0002-0000-0200-00000200000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38"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FFFF00"/>
    <pageSetUpPr fitToPage="1"/>
  </sheetPr>
  <dimension ref="A1:L13"/>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F21" sqref="F21"/>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106" t="s">
        <v>30</v>
      </c>
      <c r="C2" s="106"/>
      <c r="D2" s="106"/>
      <c r="E2" s="106"/>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31</v>
      </c>
      <c r="E5" s="30" t="s">
        <v>32</v>
      </c>
      <c r="F5" s="30"/>
      <c r="G5" s="32">
        <v>1</v>
      </c>
    </row>
    <row r="6" spans="1:12">
      <c r="B6" s="94">
        <f>IF(Shippers[[#This Row],[Active]]=TRUE,1,0)</f>
        <v>1</v>
      </c>
      <c r="C6" s="95" t="b">
        <v>1</v>
      </c>
      <c r="D6" s="94" t="s">
        <v>35</v>
      </c>
      <c r="E6" s="97" t="s">
        <v>35</v>
      </c>
      <c r="F6" s="97"/>
      <c r="G6" s="98">
        <v>18</v>
      </c>
    </row>
    <row r="7" spans="1:12">
      <c r="B7" s="94">
        <f>IF(Shippers[[#This Row],[Active]]=TRUE,1,0)</f>
        <v>1</v>
      </c>
      <c r="C7" s="95" t="b">
        <v>1</v>
      </c>
      <c r="D7" s="94" t="s">
        <v>34</v>
      </c>
      <c r="E7" s="97" t="s">
        <v>34</v>
      </c>
      <c r="F7" s="97"/>
      <c r="G7" s="98">
        <v>16</v>
      </c>
    </row>
    <row r="8" spans="1:12">
      <c r="B8" s="94">
        <f>IF(Shippers[[#This Row],[Active]]=TRUE,1,0)</f>
        <v>1</v>
      </c>
      <c r="C8" s="95" t="b">
        <v>1</v>
      </c>
      <c r="D8" s="94" t="s">
        <v>36</v>
      </c>
      <c r="E8" s="97" t="s">
        <v>260</v>
      </c>
      <c r="F8" s="97"/>
      <c r="G8" s="98">
        <v>24</v>
      </c>
    </row>
    <row r="9" spans="1:12">
      <c r="B9" s="94">
        <f>IF(Shippers[[#This Row],[Active]]=TRUE,1,0)</f>
        <v>1</v>
      </c>
      <c r="C9" s="95" t="b">
        <v>1</v>
      </c>
      <c r="D9" s="94" t="s">
        <v>292</v>
      </c>
      <c r="E9" s="30" t="s">
        <v>292</v>
      </c>
      <c r="F9" s="97"/>
      <c r="G9" s="98">
        <v>3</v>
      </c>
    </row>
    <row r="10" spans="1:12">
      <c r="B10" s="94">
        <f>IF(Shippers[[#This Row],[Active]]=TRUE,1,0)</f>
        <v>1</v>
      </c>
      <c r="C10" s="95" t="b">
        <v>1</v>
      </c>
      <c r="D10" s="94" t="s">
        <v>261</v>
      </c>
      <c r="E10" s="97" t="s">
        <v>261</v>
      </c>
      <c r="F10" s="97"/>
      <c r="G10" s="98">
        <v>22</v>
      </c>
    </row>
    <row r="11" spans="1:12">
      <c r="B11" s="94">
        <f>IF(Shippers[[#This Row],[Active]]=TRUE,1,0)</f>
        <v>1</v>
      </c>
      <c r="C11" s="95" t="b">
        <v>1</v>
      </c>
      <c r="D11" s="94" t="s">
        <v>262</v>
      </c>
      <c r="E11" s="97" t="s">
        <v>262</v>
      </c>
      <c r="F11" s="97"/>
      <c r="G11" s="98">
        <v>48</v>
      </c>
    </row>
    <row r="12" spans="1:12">
      <c r="B12" s="94">
        <f>IF(Shippers[[#This Row],[Active]]=TRUE,1,0)</f>
        <v>1</v>
      </c>
      <c r="C12" s="95" t="b">
        <v>1</v>
      </c>
      <c r="D12" s="94" t="s">
        <v>293</v>
      </c>
      <c r="E12" s="97" t="s">
        <v>293</v>
      </c>
      <c r="F12" s="97"/>
      <c r="G12" s="98">
        <v>2</v>
      </c>
    </row>
    <row r="13" spans="1:12">
      <c r="B13" s="94">
        <f>IF(Shippers[[#This Row],[Active]]=TRUE,1,0)</f>
        <v>1</v>
      </c>
      <c r="C13" s="95" t="b">
        <v>1</v>
      </c>
      <c r="D13" s="94" t="s">
        <v>294</v>
      </c>
      <c r="E13" s="97" t="s">
        <v>294</v>
      </c>
      <c r="F13" s="97"/>
      <c r="G13" s="98">
        <v>12</v>
      </c>
    </row>
  </sheetData>
  <dataConsolidate/>
  <mergeCells count="1">
    <mergeCell ref="B2:E2"/>
  </mergeCells>
  <conditionalFormatting sqref="B5:G13">
    <cfRule type="expression" dxfId="56" priority="1">
      <formula>$C5 = FALSE</formula>
    </cfRule>
  </conditionalFormatting>
  <conditionalFormatting sqref="C5:C13">
    <cfRule type="containsText" dxfId="55" priority="2" operator="containsText" text="TRUE">
      <formula>NOT(ISERROR(SEARCH("TRUE",C5)))</formula>
    </cfRule>
    <cfRule type="containsText" dxfId="54" priority="3" operator="containsText" text="FALSE">
      <formula>NOT(ISERROR(SEARCH("FALSE",C5)))</formula>
    </cfRule>
  </conditionalFormatting>
  <dataValidations count="1">
    <dataValidation type="list" allowBlank="1" showInputMessage="1" showErrorMessage="1" sqref="C5:C13" xr:uid="{00000000-0002-0000-0300-000000000000}">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40"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FFFF00"/>
    <pageSetUpPr fitToPage="1"/>
  </sheetPr>
  <dimension ref="A1:P23"/>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L29" sqref="L29"/>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106" t="s">
        <v>37</v>
      </c>
      <c r="C2" s="106"/>
      <c r="D2" s="106"/>
      <c r="E2" s="106"/>
      <c r="F2" s="106"/>
      <c r="G2" s="106"/>
    </row>
    <row r="3" spans="1:16" s="4" customFormat="1" ht="9" customHeight="1" thickTop="1">
      <c r="A3" s="22"/>
      <c r="C3" s="21"/>
    </row>
    <row r="4" spans="1:16" s="13" customFormat="1" ht="15" customHeight="1">
      <c r="A4" s="22"/>
      <c r="B4" s="20" t="s">
        <v>11</v>
      </c>
      <c r="C4" s="19" t="s">
        <v>1</v>
      </c>
      <c r="D4" s="19" t="s">
        <v>0</v>
      </c>
      <c r="E4" s="19" t="s">
        <v>3</v>
      </c>
      <c r="F4" s="19" t="s">
        <v>38</v>
      </c>
      <c r="G4" s="19" t="s">
        <v>39</v>
      </c>
      <c r="H4" s="19" t="s">
        <v>40</v>
      </c>
      <c r="I4" s="19" t="s">
        <v>41</v>
      </c>
      <c r="J4" s="19" t="s">
        <v>42</v>
      </c>
      <c r="K4" s="19" t="s">
        <v>4</v>
      </c>
      <c r="L4" s="19" t="s">
        <v>43</v>
      </c>
      <c r="M4" s="19" t="s">
        <v>17</v>
      </c>
    </row>
    <row r="5" spans="1:16">
      <c r="A5" s="23"/>
      <c r="B5" s="36">
        <f>IF(Sites[[#This Row],[Active]]=TRUE,1,0)</f>
        <v>1</v>
      </c>
      <c r="C5" s="37" t="b">
        <v>1</v>
      </c>
      <c r="D5" s="36" t="s">
        <v>263</v>
      </c>
      <c r="E5" s="38" t="s">
        <v>263</v>
      </c>
      <c r="F5" s="38" t="s">
        <v>261</v>
      </c>
      <c r="G5" s="15">
        <v>0</v>
      </c>
      <c r="H5" s="15">
        <v>0</v>
      </c>
      <c r="I5" s="15">
        <v>0</v>
      </c>
      <c r="J5" s="41"/>
      <c r="K5" s="41"/>
      <c r="L5" s="41">
        <f>IF(Sites[[#This Row],[Shipper]]="","",INDEX(Shippers[ID],MATCH(Sites[[#This Row],[Shipper]],Shippers[Code],0)))</f>
        <v>22</v>
      </c>
      <c r="M5" s="39">
        <v>964</v>
      </c>
    </row>
    <row r="6" spans="1:16">
      <c r="B6" s="94">
        <f>IF(Sites[[#This Row],[Active]]=TRUE,1,0)</f>
        <v>1</v>
      </c>
      <c r="C6" s="95" t="b">
        <v>1</v>
      </c>
      <c r="D6" s="94" t="s">
        <v>264</v>
      </c>
      <c r="E6" s="97" t="s">
        <v>264</v>
      </c>
      <c r="F6" s="97" t="s">
        <v>262</v>
      </c>
      <c r="G6" s="15">
        <v>0</v>
      </c>
      <c r="H6" s="15">
        <v>0</v>
      </c>
      <c r="I6" s="15">
        <v>0</v>
      </c>
      <c r="J6" s="41"/>
      <c r="K6" s="41"/>
      <c r="L6" s="41">
        <f>IF(Sites[[#This Row],[Shipper]]="","",INDEX(Shippers[ID],MATCH(Sites[[#This Row],[Shipper]],Shippers[Code],0)))</f>
        <v>48</v>
      </c>
      <c r="M6" s="98">
        <v>1053</v>
      </c>
    </row>
    <row r="7" spans="1:16">
      <c r="B7" s="94">
        <f>IF(Sites[[#This Row],[Active]]=TRUE,1,0)</f>
        <v>1</v>
      </c>
      <c r="C7" s="95" t="b">
        <v>1</v>
      </c>
      <c r="D7" s="94" t="s">
        <v>265</v>
      </c>
      <c r="E7" s="97" t="s">
        <v>265</v>
      </c>
      <c r="F7" s="97" t="s">
        <v>262</v>
      </c>
      <c r="G7" s="15">
        <v>0</v>
      </c>
      <c r="H7" s="15">
        <v>0</v>
      </c>
      <c r="I7" s="15">
        <v>0</v>
      </c>
      <c r="J7" s="41"/>
      <c r="K7" s="41"/>
      <c r="L7" s="41">
        <f>IF(Sites[[#This Row],[Shipper]]="","",INDEX(Shippers[ID],MATCH(Sites[[#This Row],[Shipper]],Shippers[Code],0)))</f>
        <v>48</v>
      </c>
      <c r="M7" s="98">
        <v>1054</v>
      </c>
    </row>
    <row r="8" spans="1:16">
      <c r="B8" s="94">
        <f>IF(Sites[[#This Row],[Active]]=TRUE,1,0)</f>
        <v>1</v>
      </c>
      <c r="C8" s="95" t="b">
        <v>1</v>
      </c>
      <c r="D8" s="94" t="s">
        <v>31</v>
      </c>
      <c r="E8" s="97" t="s">
        <v>31</v>
      </c>
      <c r="F8" s="97" t="s">
        <v>31</v>
      </c>
      <c r="G8" s="15">
        <v>0</v>
      </c>
      <c r="H8" s="15">
        <v>0</v>
      </c>
      <c r="I8" s="15">
        <v>0</v>
      </c>
      <c r="J8" s="41"/>
      <c r="K8" s="41"/>
      <c r="L8" s="41">
        <f>IF(Sites[[#This Row],[Shipper]]="","",INDEX(Shippers[ID],MATCH(Sites[[#This Row],[Shipper]],Shippers[Code],0)))</f>
        <v>1</v>
      </c>
      <c r="M8" s="98">
        <v>924</v>
      </c>
    </row>
    <row r="9" spans="1:16">
      <c r="B9" s="94">
        <f>IF(Sites[[#This Row],[Active]]=TRUE,1,0)</f>
        <v>1</v>
      </c>
      <c r="C9" s="95" t="b">
        <v>1</v>
      </c>
      <c r="D9" s="94" t="s">
        <v>35</v>
      </c>
      <c r="E9" s="97" t="s">
        <v>35</v>
      </c>
      <c r="F9" s="97" t="s">
        <v>35</v>
      </c>
      <c r="G9" s="15">
        <v>0</v>
      </c>
      <c r="H9" s="15">
        <v>0</v>
      </c>
      <c r="I9" s="15">
        <v>0</v>
      </c>
      <c r="J9" s="41"/>
      <c r="K9" s="41"/>
      <c r="L9" s="41">
        <f>IF(Sites[[#This Row],[Shipper]]="","",INDEX(Shippers[ID],MATCH(Sites[[#This Row],[Shipper]],Shippers[Code],0)))</f>
        <v>18</v>
      </c>
      <c r="M9" s="98">
        <v>959</v>
      </c>
    </row>
    <row r="10" spans="1:16">
      <c r="B10" s="94">
        <f>IF(Sites[[#This Row],[Active]]=TRUE,1,0)</f>
        <v>1</v>
      </c>
      <c r="C10" s="95" t="b">
        <v>1</v>
      </c>
      <c r="D10" s="94" t="s">
        <v>34</v>
      </c>
      <c r="E10" s="97" t="s">
        <v>34</v>
      </c>
      <c r="F10" s="97" t="s">
        <v>34</v>
      </c>
      <c r="G10" s="15">
        <v>0</v>
      </c>
      <c r="H10" s="15">
        <v>0</v>
      </c>
      <c r="I10" s="15">
        <v>0</v>
      </c>
      <c r="J10" s="41"/>
      <c r="K10" s="41"/>
      <c r="L10" s="41">
        <f>IF(Sites[[#This Row],[Shipper]]="","",INDEX(Shippers[ID],MATCH(Sites[[#This Row],[Shipper]],Shippers[Code],0)))</f>
        <v>16</v>
      </c>
      <c r="M10" s="98">
        <v>957</v>
      </c>
    </row>
    <row r="11" spans="1:16">
      <c r="B11" s="94">
        <f>IF(Sites[[#This Row],[Active]]=TRUE,1,0)</f>
        <v>1</v>
      </c>
      <c r="C11" s="95" t="b">
        <v>1</v>
      </c>
      <c r="D11" s="94" t="s">
        <v>36</v>
      </c>
      <c r="E11" s="97" t="s">
        <v>260</v>
      </c>
      <c r="F11" s="97" t="s">
        <v>36</v>
      </c>
      <c r="G11" s="15">
        <v>0</v>
      </c>
      <c r="H11" s="15">
        <v>0</v>
      </c>
      <c r="I11" s="15">
        <v>0</v>
      </c>
      <c r="J11" s="41"/>
      <c r="K11" s="41"/>
      <c r="L11" s="41">
        <f>IF(Sites[[#This Row],[Shipper]]="","",INDEX(Shippers[ID],MATCH(Sites[[#This Row],[Shipper]],Shippers[Code],0)))</f>
        <v>24</v>
      </c>
      <c r="M11" s="98">
        <v>986</v>
      </c>
    </row>
    <row r="12" spans="1:16">
      <c r="B12" s="94">
        <f>IF(Sites[[#This Row],[Active]]=TRUE,1,0)</f>
        <v>1</v>
      </c>
      <c r="C12" s="95" t="b">
        <v>1</v>
      </c>
      <c r="D12" s="94" t="s">
        <v>295</v>
      </c>
      <c r="E12" s="97" t="s">
        <v>295</v>
      </c>
      <c r="F12" s="97" t="s">
        <v>292</v>
      </c>
      <c r="G12" s="15">
        <v>0</v>
      </c>
      <c r="H12" s="15">
        <v>0</v>
      </c>
      <c r="I12" s="15">
        <v>0</v>
      </c>
      <c r="J12" s="41"/>
      <c r="K12" s="41"/>
      <c r="L12" s="41">
        <f>IF(Sites[[#This Row],[Shipper]]="","",INDEX(Shippers[ID],MATCH(Sites[[#This Row],[Shipper]],Shippers[Code],0)))</f>
        <v>3</v>
      </c>
      <c r="M12" s="98">
        <v>928</v>
      </c>
    </row>
    <row r="13" spans="1:16">
      <c r="B13" s="94">
        <f>IF(Sites[[#This Row],[Active]]=TRUE,1,0)</f>
        <v>1</v>
      </c>
      <c r="C13" s="95" t="b">
        <v>1</v>
      </c>
      <c r="D13" s="94" t="s">
        <v>266</v>
      </c>
      <c r="E13" s="97" t="s">
        <v>266</v>
      </c>
      <c r="F13" s="97" t="s">
        <v>261</v>
      </c>
      <c r="G13" s="15">
        <v>0</v>
      </c>
      <c r="H13" s="15">
        <v>0</v>
      </c>
      <c r="I13" s="15">
        <v>0</v>
      </c>
      <c r="J13" s="41"/>
      <c r="K13" s="41"/>
      <c r="L13" s="41">
        <f>IF(Sites[[#This Row],[Shipper]]="","",INDEX(Shippers[ID],MATCH(Sites[[#This Row],[Shipper]],Shippers[Code],0)))</f>
        <v>22</v>
      </c>
      <c r="M13" s="98">
        <v>1007</v>
      </c>
    </row>
    <row r="14" spans="1:16">
      <c r="B14" s="94">
        <f>IF(Sites[[#This Row],[Active]]=TRUE,1,0)</f>
        <v>1</v>
      </c>
      <c r="C14" s="95" t="b">
        <v>1</v>
      </c>
      <c r="D14" s="94" t="s">
        <v>267</v>
      </c>
      <c r="E14" s="97" t="s">
        <v>267</v>
      </c>
      <c r="F14" s="97" t="s">
        <v>261</v>
      </c>
      <c r="G14" s="15">
        <v>0</v>
      </c>
      <c r="H14" s="15">
        <v>0</v>
      </c>
      <c r="I14" s="15">
        <v>0</v>
      </c>
      <c r="J14" s="41"/>
      <c r="K14" s="41"/>
      <c r="L14" s="41">
        <f>IF(Sites[[#This Row],[Shipper]]="","",INDEX(Shippers[ID],MATCH(Sites[[#This Row],[Shipper]],Shippers[Code],0)))</f>
        <v>22</v>
      </c>
      <c r="M14" s="98">
        <v>1008</v>
      </c>
    </row>
    <row r="15" spans="1:16">
      <c r="B15" s="94">
        <f>IF(Sites[[#This Row],[Active]]=TRUE,1,0)</f>
        <v>1</v>
      </c>
      <c r="C15" s="95" t="b">
        <v>1</v>
      </c>
      <c r="D15" s="94" t="s">
        <v>268</v>
      </c>
      <c r="E15" s="97" t="s">
        <v>268</v>
      </c>
      <c r="F15" s="97" t="s">
        <v>261</v>
      </c>
      <c r="G15" s="15">
        <v>0</v>
      </c>
      <c r="H15" s="15">
        <v>0</v>
      </c>
      <c r="I15" s="15">
        <v>0</v>
      </c>
      <c r="J15" s="41"/>
      <c r="K15" s="41"/>
      <c r="L15" s="41">
        <f>IF(Sites[[#This Row],[Shipper]]="","",INDEX(Shippers[ID],MATCH(Sites[[#This Row],[Shipper]],Shippers[Code],0)))</f>
        <v>22</v>
      </c>
      <c r="M15" s="98">
        <v>1009</v>
      </c>
    </row>
    <row r="16" spans="1:16">
      <c r="B16" s="94">
        <f>IF(Sites[[#This Row],[Active]]=TRUE,1,0)</f>
        <v>1</v>
      </c>
      <c r="C16" s="95" t="b">
        <v>1</v>
      </c>
      <c r="D16" s="94" t="s">
        <v>269</v>
      </c>
      <c r="E16" s="97" t="s">
        <v>269</v>
      </c>
      <c r="F16" s="97" t="s">
        <v>261</v>
      </c>
      <c r="G16" s="15">
        <v>0</v>
      </c>
      <c r="H16" s="15">
        <v>0</v>
      </c>
      <c r="I16" s="15">
        <v>0</v>
      </c>
      <c r="J16" s="41"/>
      <c r="K16" s="41"/>
      <c r="L16" s="41">
        <f>IF(Sites[[#This Row],[Shipper]]="","",INDEX(Shippers[ID],MATCH(Sites[[#This Row],[Shipper]],Shippers[Code],0)))</f>
        <v>22</v>
      </c>
      <c r="M16" s="98">
        <v>1010</v>
      </c>
    </row>
    <row r="17" spans="2:13">
      <c r="B17" s="94">
        <f>IF(Sites[[#This Row],[Active]]=TRUE,1,0)</f>
        <v>1</v>
      </c>
      <c r="C17" s="95" t="b">
        <v>1</v>
      </c>
      <c r="D17" s="94" t="s">
        <v>270</v>
      </c>
      <c r="E17" s="97" t="s">
        <v>270</v>
      </c>
      <c r="F17" s="97" t="s">
        <v>261</v>
      </c>
      <c r="G17" s="15">
        <v>0</v>
      </c>
      <c r="H17" s="15">
        <v>0</v>
      </c>
      <c r="I17" s="15">
        <v>0</v>
      </c>
      <c r="J17" s="41"/>
      <c r="K17" s="41"/>
      <c r="L17" s="41">
        <f>IF(Sites[[#This Row],[Shipper]]="","",INDEX(Shippers[ID],MATCH(Sites[[#This Row],[Shipper]],Shippers[Code],0)))</f>
        <v>22</v>
      </c>
      <c r="M17" s="98">
        <v>1011</v>
      </c>
    </row>
    <row r="18" spans="2:13">
      <c r="B18" s="94">
        <f>IF(Sites[[#This Row],[Active]]=TRUE,1,0)</f>
        <v>1</v>
      </c>
      <c r="C18" s="95" t="b">
        <v>1</v>
      </c>
      <c r="D18" s="94" t="s">
        <v>271</v>
      </c>
      <c r="E18" s="97" t="s">
        <v>271</v>
      </c>
      <c r="F18" s="97" t="s">
        <v>261</v>
      </c>
      <c r="G18" s="15">
        <v>0</v>
      </c>
      <c r="H18" s="15">
        <v>0</v>
      </c>
      <c r="I18" s="15">
        <v>0</v>
      </c>
      <c r="J18" s="41"/>
      <c r="K18" s="41"/>
      <c r="L18" s="41">
        <f>IF(Sites[[#This Row],[Shipper]]="","",INDEX(Shippers[ID],MATCH(Sites[[#This Row],[Shipper]],Shippers[Code],0)))</f>
        <v>22</v>
      </c>
      <c r="M18" s="98">
        <v>1012</v>
      </c>
    </row>
    <row r="19" spans="2:13">
      <c r="B19" s="94">
        <f>IF(Sites[[#This Row],[Active]]=TRUE,1,0)</f>
        <v>1</v>
      </c>
      <c r="C19" s="95" t="b">
        <v>1</v>
      </c>
      <c r="D19" s="94" t="s">
        <v>272</v>
      </c>
      <c r="E19" s="97" t="s">
        <v>272</v>
      </c>
      <c r="F19" s="97" t="s">
        <v>261</v>
      </c>
      <c r="G19" s="15">
        <v>0</v>
      </c>
      <c r="H19" s="15">
        <v>0</v>
      </c>
      <c r="I19" s="15">
        <v>0</v>
      </c>
      <c r="J19" s="41"/>
      <c r="K19" s="41"/>
      <c r="L19" s="41">
        <f>IF(Sites[[#This Row],[Shipper]]="","",INDEX(Shippers[ID],MATCH(Sites[[#This Row],[Shipper]],Shippers[Code],0)))</f>
        <v>22</v>
      </c>
      <c r="M19" s="98">
        <v>1013</v>
      </c>
    </row>
    <row r="20" spans="2:13">
      <c r="B20" s="94">
        <f>IF(Sites[[#This Row],[Active]]=TRUE,1,0)</f>
        <v>1</v>
      </c>
      <c r="C20" s="95" t="b">
        <v>1</v>
      </c>
      <c r="D20" s="94" t="s">
        <v>296</v>
      </c>
      <c r="E20" s="97" t="s">
        <v>296</v>
      </c>
      <c r="F20" s="97" t="s">
        <v>293</v>
      </c>
      <c r="G20" s="15">
        <v>0</v>
      </c>
      <c r="H20" s="15">
        <v>0</v>
      </c>
      <c r="I20" s="15">
        <v>0</v>
      </c>
      <c r="J20" s="41"/>
      <c r="K20" s="41"/>
      <c r="L20" s="41">
        <f>IF(Sites[[#This Row],[Shipper]]="","",INDEX(Shippers[ID],MATCH(Sites[[#This Row],[Shipper]],Shippers[Code],0)))</f>
        <v>2</v>
      </c>
      <c r="M20" s="98">
        <v>925</v>
      </c>
    </row>
    <row r="21" spans="2:13">
      <c r="B21" s="94">
        <f>IF(Sites[[#This Row],[Active]]=TRUE,1,0)</f>
        <v>1</v>
      </c>
      <c r="C21" s="95" t="b">
        <v>1</v>
      </c>
      <c r="D21" s="94" t="s">
        <v>297</v>
      </c>
      <c r="E21" s="97" t="s">
        <v>297</v>
      </c>
      <c r="F21" s="97" t="s">
        <v>293</v>
      </c>
      <c r="G21" s="15">
        <v>0</v>
      </c>
      <c r="H21" s="15">
        <v>0</v>
      </c>
      <c r="I21" s="15">
        <v>0</v>
      </c>
      <c r="J21" s="41"/>
      <c r="K21" s="41"/>
      <c r="L21" s="41">
        <f>IF(Sites[[#This Row],[Shipper]]="","",INDEX(Shippers[ID],MATCH(Sites[[#This Row],[Shipper]],Shippers[Code],0)))</f>
        <v>2</v>
      </c>
      <c r="M21" s="98">
        <v>927</v>
      </c>
    </row>
    <row r="22" spans="2:13">
      <c r="B22" s="94">
        <f>IF(Sites[[#This Row],[Active]]=TRUE,1,0)</f>
        <v>1</v>
      </c>
      <c r="C22" s="95" t="b">
        <v>1</v>
      </c>
      <c r="D22" s="94" t="s">
        <v>298</v>
      </c>
      <c r="E22" s="97" t="s">
        <v>298</v>
      </c>
      <c r="F22" s="97" t="s">
        <v>294</v>
      </c>
      <c r="G22" s="15">
        <v>0</v>
      </c>
      <c r="H22" s="15">
        <v>0</v>
      </c>
      <c r="I22" s="15">
        <v>0</v>
      </c>
      <c r="J22" s="41"/>
      <c r="K22" s="41"/>
      <c r="L22" s="41">
        <f>IF(Sites[[#This Row],[Shipper]]="","",INDEX(Shippers[ID],MATCH(Sites[[#This Row],[Shipper]],Shippers[Code],0)))</f>
        <v>12</v>
      </c>
      <c r="M22" s="98">
        <v>950</v>
      </c>
    </row>
    <row r="23" spans="2:13">
      <c r="B23" s="94">
        <f>IF(Sites[[#This Row],[Active]]=TRUE,1,0)</f>
        <v>1</v>
      </c>
      <c r="C23" s="95" t="b">
        <v>1</v>
      </c>
      <c r="D23" s="94" t="s">
        <v>299</v>
      </c>
      <c r="E23" s="97" t="s">
        <v>299</v>
      </c>
      <c r="F23" s="97" t="s">
        <v>294</v>
      </c>
      <c r="G23" s="15">
        <v>0</v>
      </c>
      <c r="H23" s="15">
        <v>0</v>
      </c>
      <c r="I23" s="15">
        <v>0</v>
      </c>
      <c r="J23" s="41"/>
      <c r="K23" s="41"/>
      <c r="L23" s="41">
        <f>IF(Sites[[#This Row],[Shipper]]="","",INDEX(Shippers[ID],MATCH(Sites[[#This Row],[Shipper]],Shippers[Code],0)))</f>
        <v>12</v>
      </c>
      <c r="M23" s="98">
        <v>951</v>
      </c>
    </row>
  </sheetData>
  <dataConsolidate/>
  <mergeCells count="1">
    <mergeCell ref="B2:G2"/>
  </mergeCells>
  <conditionalFormatting sqref="B5:F23 J5:M23">
    <cfRule type="expression" dxfId="53" priority="1">
      <formula>$C5 = FALSE</formula>
    </cfRule>
  </conditionalFormatting>
  <conditionalFormatting sqref="C5:C23">
    <cfRule type="containsText" dxfId="52" priority="2" operator="containsText" text="TRUE">
      <formula>NOT(ISERROR(SEARCH("TRUE",C5)))</formula>
    </cfRule>
    <cfRule type="containsText" dxfId="51" priority="3" operator="containsText" text="FALSE">
      <formula>NOT(ISERROR(SEARCH("FALSE",C5)))</formula>
    </cfRule>
  </conditionalFormatting>
  <dataValidations count="2">
    <dataValidation type="list" allowBlank="1" showInputMessage="1" showErrorMessage="1" sqref="C5:C23" xr:uid="{00000000-0002-0000-0400-000000000000}">
      <formula1>"TRUE, FALSE"</formula1>
    </dataValidation>
    <dataValidation type="list" allowBlank="1" showInputMessage="1" showErrorMessage="1" sqref="F5:F23" xr:uid="{00000000-0002-0000-0400-000001000000}">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43"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B5:B23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rgb="FFFFFF00"/>
    <pageSetUpPr fitToPage="1"/>
  </sheetPr>
  <dimension ref="A1:W12"/>
  <sheetViews>
    <sheetView showGridLines="0" topLeftCell="A2" zoomScaleNormal="100" workbookViewId="0">
      <pane xSplit="1" ySplit="3" topLeftCell="E5" activePane="bottomRight" state="frozen"/>
      <selection activeCell="E58" sqref="E58"/>
      <selection pane="topRight" activeCell="E58" sqref="E58"/>
      <selection pane="bottomLeft" activeCell="E58" sqref="E58"/>
      <selection pane="bottomRight" activeCell="L17" sqref="L17"/>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6" width="21.28515625" customWidth="1"/>
    <col min="7"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106" t="s">
        <v>103</v>
      </c>
      <c r="C2" s="106"/>
      <c r="D2" s="106"/>
      <c r="E2" s="106"/>
      <c r="F2" s="106"/>
      <c r="G2" s="106"/>
      <c r="H2" s="106"/>
      <c r="I2" s="106"/>
      <c r="J2" s="106"/>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38</v>
      </c>
      <c r="G4" s="19" t="s">
        <v>72</v>
      </c>
      <c r="H4" s="19" t="s">
        <v>101</v>
      </c>
      <c r="I4" s="19" t="s">
        <v>102</v>
      </c>
      <c r="J4" s="19" t="s">
        <v>74</v>
      </c>
      <c r="K4" s="19" t="s">
        <v>4</v>
      </c>
      <c r="L4" s="19" t="s">
        <v>43</v>
      </c>
      <c r="M4" s="19" t="s">
        <v>120</v>
      </c>
      <c r="N4" s="19" t="s">
        <v>121</v>
      </c>
      <c r="O4" s="19" t="s">
        <v>122</v>
      </c>
      <c r="P4" s="19" t="s">
        <v>123</v>
      </c>
      <c r="Q4" s="19" t="s">
        <v>17</v>
      </c>
    </row>
    <row r="5" spans="1:23">
      <c r="A5" s="23"/>
      <c r="B5" s="26">
        <f>IF(Streams[[#This Row],[Active]]=TRUE,1,0)</f>
        <v>1</v>
      </c>
      <c r="C5" s="27" t="b">
        <v>1</v>
      </c>
      <c r="D5" s="25" t="s">
        <v>259</v>
      </c>
      <c r="E5" s="30" t="s">
        <v>300</v>
      </c>
      <c r="F5" s="40" t="s">
        <v>261</v>
      </c>
      <c r="G5" s="35" t="s">
        <v>263</v>
      </c>
      <c r="H5" s="40" t="s">
        <v>294</v>
      </c>
      <c r="I5" s="35" t="s">
        <v>299</v>
      </c>
      <c r="J5" s="35" t="s">
        <v>91</v>
      </c>
      <c r="L5">
        <f>IF(Streams[[#This Row],[Shipper]]="","",INDEX(Shippers[ID],MATCH(Streams[[#This Row],[Shipper]],Shippers[Code],0)))</f>
        <v>22</v>
      </c>
      <c r="M5">
        <f>IF(Streams[[#This Row],[Site]]="","",INDEX(Sites[ID],MATCH(Streams[[#This Row],[Site]],Sites[Code],0)))</f>
        <v>964</v>
      </c>
      <c r="N5">
        <f>IF(Streams[[#This Row],[Destination Shipper]]="","",INDEX(Shippers[ID],MATCH(Streams[[#This Row],[Destination Shipper]],Shippers[Code],0)))</f>
        <v>12</v>
      </c>
      <c r="O5">
        <f>IF(Streams[[#This Row],[Destination Site]]="","",INDEX(Sites[ID],MATCH(Streams[[#This Row],[Destination Site]],Sites[Code],0)))</f>
        <v>951</v>
      </c>
      <c r="P5">
        <f>IF(Streams[[#This Row],[Transport Method]]="","",INDEX(TransportMethods[ID],MATCH(Streams[[#This Row],[Transport Method]],TransportMethods[Code],0)))</f>
        <v>3</v>
      </c>
      <c r="Q5" s="32">
        <v>881</v>
      </c>
    </row>
    <row r="6" spans="1:23">
      <c r="B6" s="94">
        <f>IF(Streams[[#This Row],[Active]]=TRUE,1,0)</f>
        <v>1</v>
      </c>
      <c r="C6" s="95" t="b">
        <v>1</v>
      </c>
      <c r="D6" s="94" t="s">
        <v>301</v>
      </c>
      <c r="E6" s="97" t="s">
        <v>302</v>
      </c>
      <c r="F6" s="100" t="s">
        <v>261</v>
      </c>
      <c r="G6" s="96" t="s">
        <v>263</v>
      </c>
      <c r="H6" s="100" t="s">
        <v>294</v>
      </c>
      <c r="I6" s="96" t="s">
        <v>299</v>
      </c>
      <c r="J6" s="35" t="s">
        <v>91</v>
      </c>
      <c r="L6" s="6">
        <f>IF(Streams[[#This Row],[Shipper]]="","",INDEX(Shippers[ID],MATCH(Streams[[#This Row],[Shipper]],Shippers[Code],0)))</f>
        <v>22</v>
      </c>
      <c r="M6" s="6">
        <f>IF(Streams[[#This Row],[Site]]="","",INDEX(Sites[ID],MATCH(Streams[[#This Row],[Site]],Sites[Code],0)))</f>
        <v>964</v>
      </c>
      <c r="N6" s="6">
        <f>IF(Streams[[#This Row],[Destination Shipper]]="","",INDEX(Shippers[ID],MATCH(Streams[[#This Row],[Destination Shipper]],Shippers[Code],0)))</f>
        <v>12</v>
      </c>
      <c r="O6" s="6">
        <f>IF(Streams[[#This Row],[Destination Site]]="","",INDEX(Sites[ID],MATCH(Streams[[#This Row],[Destination Site]],Sites[Code],0)))</f>
        <v>951</v>
      </c>
      <c r="P6" s="6">
        <f>IF(Streams[[#This Row],[Transport Method]]="","",INDEX(TransportMethods[ID],MATCH(Streams[[#This Row],[Transport Method]],TransportMethods[Code],0)))</f>
        <v>3</v>
      </c>
      <c r="Q6" s="98">
        <v>910</v>
      </c>
    </row>
    <row r="7" spans="1:23">
      <c r="B7" s="94">
        <f>IF(Streams[[#This Row],[Active]]=TRUE,1,0)</f>
        <v>1</v>
      </c>
      <c r="C7" s="95" t="b">
        <v>1</v>
      </c>
      <c r="D7" s="94" t="s">
        <v>303</v>
      </c>
      <c r="E7" s="97" t="s">
        <v>304</v>
      </c>
      <c r="F7" s="100" t="s">
        <v>261</v>
      </c>
      <c r="G7" s="96" t="s">
        <v>263</v>
      </c>
      <c r="H7" s="100" t="s">
        <v>294</v>
      </c>
      <c r="I7" s="96" t="s">
        <v>299</v>
      </c>
      <c r="J7" s="35" t="s">
        <v>91</v>
      </c>
      <c r="L7" s="6">
        <f>IF(Streams[[#This Row],[Shipper]]="","",INDEX(Shippers[ID],MATCH(Streams[[#This Row],[Shipper]],Shippers[Code],0)))</f>
        <v>22</v>
      </c>
      <c r="M7" s="6">
        <f>IF(Streams[[#This Row],[Site]]="","",INDEX(Sites[ID],MATCH(Streams[[#This Row],[Site]],Sites[Code],0)))</f>
        <v>964</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98">
        <v>914</v>
      </c>
    </row>
    <row r="8" spans="1:23">
      <c r="B8" s="94">
        <f>IF(Streams[[#This Row],[Active]]=TRUE,1,0)</f>
        <v>0</v>
      </c>
      <c r="C8" s="95" t="b">
        <v>0</v>
      </c>
      <c r="D8" s="94" t="s">
        <v>305</v>
      </c>
      <c r="E8" s="97" t="s">
        <v>300</v>
      </c>
      <c r="F8" s="100" t="s">
        <v>262</v>
      </c>
      <c r="G8" s="96" t="s">
        <v>264</v>
      </c>
      <c r="H8" s="100" t="s">
        <v>294</v>
      </c>
      <c r="I8" s="96" t="s">
        <v>298</v>
      </c>
      <c r="J8" s="35" t="s">
        <v>91</v>
      </c>
      <c r="L8" s="6">
        <f>IF(Streams[[#This Row],[Shipper]]="","",INDEX(Shippers[ID],MATCH(Streams[[#This Row],[Shipper]],Shippers[Code],0)))</f>
        <v>48</v>
      </c>
      <c r="M8" s="6">
        <f>IF(Streams[[#This Row],[Site]]="","",INDEX(Sites[ID],MATCH(Streams[[#This Row],[Site]],Sites[Code],0)))</f>
        <v>1053</v>
      </c>
      <c r="N8" s="6">
        <f>IF(Streams[[#This Row],[Destination Shipper]]="","",INDEX(Shippers[ID],MATCH(Streams[[#This Row],[Destination Shipper]],Shippers[Code],0)))</f>
        <v>12</v>
      </c>
      <c r="O8" s="6">
        <f>IF(Streams[[#This Row],[Destination Site]]="","",INDEX(Sites[ID],MATCH(Streams[[#This Row],[Destination Site]],Sites[Code],0)))</f>
        <v>950</v>
      </c>
      <c r="P8" s="6">
        <f>IF(Streams[[#This Row],[Transport Method]]="","",INDEX(TransportMethods[ID],MATCH(Streams[[#This Row],[Transport Method]],TransportMethods[Code],0)))</f>
        <v>3</v>
      </c>
      <c r="Q8" s="98">
        <v>915</v>
      </c>
    </row>
    <row r="9" spans="1:23">
      <c r="B9" s="94">
        <f>IF(Streams[[#This Row],[Active]]=TRUE,1,0)</f>
        <v>0</v>
      </c>
      <c r="C9" s="95" t="b">
        <v>0</v>
      </c>
      <c r="D9" s="94" t="s">
        <v>306</v>
      </c>
      <c r="E9" s="97" t="s">
        <v>302</v>
      </c>
      <c r="F9" s="100" t="s">
        <v>262</v>
      </c>
      <c r="G9" s="96" t="s">
        <v>264</v>
      </c>
      <c r="H9" s="100" t="s">
        <v>294</v>
      </c>
      <c r="I9" s="96" t="s">
        <v>298</v>
      </c>
      <c r="J9" s="35" t="s">
        <v>91</v>
      </c>
      <c r="L9" s="6">
        <f>IF(Streams[[#This Row],[Shipper]]="","",INDEX(Shippers[ID],MATCH(Streams[[#This Row],[Shipper]],Shippers[Code],0)))</f>
        <v>48</v>
      </c>
      <c r="M9" s="6">
        <f>IF(Streams[[#This Row],[Site]]="","",INDEX(Sites[ID],MATCH(Streams[[#This Row],[Site]],Sites[Code],0)))</f>
        <v>1053</v>
      </c>
      <c r="N9" s="6">
        <f>IF(Streams[[#This Row],[Destination Shipper]]="","",INDEX(Shippers[ID],MATCH(Streams[[#This Row],[Destination Shipper]],Shippers[Code],0)))</f>
        <v>12</v>
      </c>
      <c r="O9" s="6">
        <f>IF(Streams[[#This Row],[Destination Site]]="","",INDEX(Sites[ID],MATCH(Streams[[#This Row],[Destination Site]],Sites[Code],0)))</f>
        <v>950</v>
      </c>
      <c r="P9" s="6">
        <f>IF(Streams[[#This Row],[Transport Method]]="","",INDEX(TransportMethods[ID],MATCH(Streams[[#This Row],[Transport Method]],TransportMethods[Code],0)))</f>
        <v>3</v>
      </c>
      <c r="Q9" s="98">
        <v>916</v>
      </c>
    </row>
    <row r="10" spans="1:23">
      <c r="B10" s="94">
        <f>IF(Streams[[#This Row],[Active]]=TRUE,1,0)</f>
        <v>0</v>
      </c>
      <c r="C10" s="95" t="b">
        <v>0</v>
      </c>
      <c r="D10" s="94" t="s">
        <v>307</v>
      </c>
      <c r="E10" s="97" t="s">
        <v>304</v>
      </c>
      <c r="F10" s="100" t="s">
        <v>262</v>
      </c>
      <c r="G10" s="96" t="s">
        <v>264</v>
      </c>
      <c r="H10" s="100" t="s">
        <v>294</v>
      </c>
      <c r="I10" s="96" t="s">
        <v>299</v>
      </c>
      <c r="J10" s="35" t="s">
        <v>91</v>
      </c>
      <c r="L10" s="6">
        <f>IF(Streams[[#This Row],[Shipper]]="","",INDEX(Shippers[ID],MATCH(Streams[[#This Row],[Shipper]],Shippers[Code],0)))</f>
        <v>48</v>
      </c>
      <c r="M10" s="6">
        <f>IF(Streams[[#This Row],[Site]]="","",INDEX(Sites[ID],MATCH(Streams[[#This Row],[Site]],Sites[Code],0)))</f>
        <v>1053</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98">
        <v>917</v>
      </c>
    </row>
    <row r="11" spans="1:23">
      <c r="B11" s="94">
        <f>IF(Streams[[#This Row],[Active]]=TRUE,1,0)</f>
        <v>0</v>
      </c>
      <c r="C11" s="95" t="b">
        <v>0</v>
      </c>
      <c r="D11" s="94" t="s">
        <v>308</v>
      </c>
      <c r="E11" s="97" t="s">
        <v>300</v>
      </c>
      <c r="F11" s="100" t="s">
        <v>262</v>
      </c>
      <c r="G11" s="96" t="s">
        <v>265</v>
      </c>
      <c r="H11" s="100" t="s">
        <v>294</v>
      </c>
      <c r="I11" s="96" t="s">
        <v>299</v>
      </c>
      <c r="J11" s="35" t="s">
        <v>91</v>
      </c>
      <c r="L11" s="6">
        <f>IF(Streams[[#This Row],[Shipper]]="","",INDEX(Shippers[ID],MATCH(Streams[[#This Row],[Shipper]],Shippers[Code],0)))</f>
        <v>48</v>
      </c>
      <c r="M11" s="6">
        <f>IF(Streams[[#This Row],[Site]]="","",INDEX(Sites[ID],MATCH(Streams[[#This Row],[Site]],Sites[Code],0)))</f>
        <v>1054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98">
        <v>918</v>
      </c>
    </row>
    <row r="12" spans="1:23">
      <c r="B12" s="94">
        <f>IF(Streams[[#This Row],[Active]]=TRUE,1,0)</f>
        <v>0</v>
      </c>
      <c r="C12" s="95" t="b">
        <v>0</v>
      </c>
      <c r="D12" s="94" t="s">
        <v>309</v>
      </c>
      <c r="E12" s="97" t="s">
        <v>302</v>
      </c>
      <c r="F12" s="100" t="s">
        <v>262</v>
      </c>
      <c r="G12" s="96" t="s">
        <v>265</v>
      </c>
      <c r="H12" s="100" t="s">
        <v>294</v>
      </c>
      <c r="I12" s="96" t="s">
        <v>299</v>
      </c>
      <c r="J12" s="35" t="s">
        <v>91</v>
      </c>
      <c r="L12" s="6">
        <f>IF(Streams[[#This Row],[Shipper]]="","",INDEX(Shippers[ID],MATCH(Streams[[#This Row],[Shipper]],Shippers[Code],0)))</f>
        <v>48</v>
      </c>
      <c r="M12" s="6">
        <f>IF(Streams[[#This Row],[Site]]="","",INDEX(Sites[ID],MATCH(Streams[[#This Row],[Site]],Sites[Code],0)))</f>
        <v>1054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98">
        <v>919</v>
      </c>
    </row>
  </sheetData>
  <dataConsolidate/>
  <mergeCells count="1">
    <mergeCell ref="B2:J2"/>
  </mergeCells>
  <conditionalFormatting sqref="Q5:Q12 B5:J12">
    <cfRule type="expression" dxfId="50" priority="116">
      <formula>$C5 = FALSE</formula>
    </cfRule>
  </conditionalFormatting>
  <conditionalFormatting sqref="C5:C12 H5:H12 F5:F12">
    <cfRule type="containsText" dxfId="49" priority="117" operator="containsText" text="TRUE">
      <formula>NOT(ISERROR(SEARCH("TRUE",C5)))</formula>
    </cfRule>
    <cfRule type="containsText" dxfId="48" priority="118" operator="containsText" text="FALSE">
      <formula>NOT(ISERROR(SEARCH("FALSE",C5)))</formula>
    </cfRule>
  </conditionalFormatting>
  <dataValidations count="4">
    <dataValidation type="list" allowBlank="1" showInputMessage="1" showErrorMessage="1" sqref="C5:C12" xr:uid="{00000000-0002-0000-0500-000000000000}">
      <formula1>"TRUE, FALSE"</formula1>
    </dataValidation>
    <dataValidation type="list" allowBlank="1" showInputMessage="1" showErrorMessage="1" sqref="I5:I12 G5:G12" xr:uid="{00000000-0002-0000-0500-000001000000}">
      <formula1>INDIRECT("Sites[Code]")</formula1>
    </dataValidation>
    <dataValidation type="list" allowBlank="1" showInputMessage="1" showErrorMessage="1" sqref="H5:H12 F5:F12" xr:uid="{00000000-0002-0000-0500-000002000000}">
      <formula1>INDIRECT("Shippers[Code]")</formula1>
    </dataValidation>
    <dataValidation type="list" allowBlank="1" showInputMessage="1" showErrorMessage="1" sqref="J5:J12" xr:uid="{00000000-0002-0000-0500-000003000000}">
      <formula1>INDIRECT("TransportMethods[Code]")</formula1>
    </dataValidation>
  </dataValidations>
  <pageMargins left="0.7" right="0.7" top="0.75" bottom="0.75" header="0.3" footer="0.3"/>
  <pageSetup scale="5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46"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92D050"/>
    <pageSetUpPr fitToPage="1"/>
  </sheetPr>
  <dimension ref="A1:H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16" sqref="J16"/>
    </sheetView>
  </sheetViews>
  <sheetFormatPr defaultRowHeight="15"/>
  <cols>
    <col min="1" max="1" width="21.28515625" style="22" customWidth="1"/>
    <col min="2" max="2" width="6.42578125" customWidth="1"/>
    <col min="3" max="3" width="11.140625" style="15" customWidth="1"/>
    <col min="4" max="4" width="26.140625" style="84" customWidth="1"/>
    <col min="5"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3" t="s">
        <v>116</v>
      </c>
      <c r="C2" s="63"/>
      <c r="D2" s="93"/>
      <c r="E2" s="24"/>
    </row>
    <row r="3" spans="1:8" s="4" customFormat="1" ht="9" customHeight="1" thickTop="1">
      <c r="A3" s="22"/>
      <c r="C3" s="21"/>
      <c r="D3" s="21"/>
    </row>
    <row r="4" spans="1:8" s="13" customFormat="1" ht="15" customHeight="1">
      <c r="A4" s="22"/>
      <c r="B4" s="20" t="s">
        <v>11</v>
      </c>
      <c r="C4" s="19" t="s">
        <v>1</v>
      </c>
      <c r="D4" s="19" t="s">
        <v>96</v>
      </c>
      <c r="E4" s="19" t="s">
        <v>4</v>
      </c>
      <c r="F4" s="19" t="s">
        <v>208</v>
      </c>
      <c r="G4" s="19" t="s">
        <v>2</v>
      </c>
      <c r="H4" s="19" t="s">
        <v>17</v>
      </c>
    </row>
    <row r="5" spans="1:8">
      <c r="A5" s="23"/>
      <c r="B5" s="26">
        <f>IF(Stream2Experiment[[#This Row],[Active]]=TRUE,1,0)</f>
        <v>1</v>
      </c>
      <c r="C5" s="27" t="b">
        <v>1</v>
      </c>
      <c r="D5" s="84" t="s">
        <v>259</v>
      </c>
      <c r="E5" s="27"/>
      <c r="F5" s="27">
        <f>IF(Stream2Experiment[[#This Row],[Stream]]="","",INDEX(Streams[ID],MATCH(Stream2Experiment[[#This Row],[Stream]],Streams[Code],0)))</f>
        <v>881</v>
      </c>
      <c r="G5" s="32">
        <v>43</v>
      </c>
      <c r="H5" s="32">
        <v>19</v>
      </c>
    </row>
    <row r="6" spans="1:8">
      <c r="B6" s="94">
        <f>IF(Stream2Experiment[[#This Row],[Active]]=TRUE,1,0)</f>
        <v>1</v>
      </c>
      <c r="C6" s="95" t="b">
        <v>1</v>
      </c>
      <c r="D6" s="84" t="s">
        <v>301</v>
      </c>
      <c r="E6" s="25"/>
      <c r="F6" s="104">
        <f>IF(Stream2Experiment[[#This Row],[Stream]]="","",INDEX(Streams[ID],MATCH(Stream2Experiment[[#This Row],[Stream]],Streams[Code],0)))</f>
        <v>910</v>
      </c>
      <c r="G6" s="98">
        <v>43</v>
      </c>
      <c r="H6" s="98">
        <v>22</v>
      </c>
    </row>
    <row r="7" spans="1:8">
      <c r="B7" s="94">
        <f>IF(Stream2Experiment[[#This Row],[Active]]=TRUE,1,0)</f>
        <v>0</v>
      </c>
      <c r="C7" s="95" t="b">
        <v>0</v>
      </c>
      <c r="D7" s="84" t="s">
        <v>303</v>
      </c>
      <c r="E7" s="25"/>
      <c r="F7" s="104">
        <f>IF(Stream2Experiment[[#This Row],[Stream]]="","",INDEX(Streams[ID],MATCH(Stream2Experiment[[#This Row],[Stream]],Streams[Code],0)))</f>
        <v>914</v>
      </c>
      <c r="G7" s="98">
        <v>43</v>
      </c>
      <c r="H7" s="98">
        <v>23</v>
      </c>
    </row>
    <row r="8" spans="1:8" ht="14.25" customHeight="1"/>
  </sheetData>
  <dataConsolidate/>
  <conditionalFormatting sqref="E5:H7 B5:C7">
    <cfRule type="expression" dxfId="47" priority="1">
      <formula>$C5 = FALSE</formula>
    </cfRule>
  </conditionalFormatting>
  <conditionalFormatting sqref="E5:F7 C5:C7">
    <cfRule type="containsText" dxfId="46" priority="2" operator="containsText" text="TRUE">
      <formula>NOT(ISERROR(SEARCH("TRUE",C5)))</formula>
    </cfRule>
    <cfRule type="containsText" dxfId="45" priority="3" operator="containsText" text="FALSE">
      <formula>NOT(ISERROR(SEARCH("FALSE",C5)))</formula>
    </cfRule>
  </conditionalFormatting>
  <dataValidations count="2">
    <dataValidation type="list" allowBlank="1" showInputMessage="1" showErrorMessage="1" sqref="D5:D7" xr:uid="{00000000-0002-0000-0600-000000000000}">
      <formula1>INDIRECT("Streams[Code]")</formula1>
    </dataValidation>
    <dataValidation type="list" allowBlank="1" showInputMessage="1" showErrorMessage="1" sqref="C5:C7" xr:uid="{00000000-0002-0000-0600-000001000000}">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63"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92D050"/>
    <pageSetUpPr fitToPage="1"/>
  </sheetPr>
  <dimension ref="A1:Z11"/>
  <sheetViews>
    <sheetView showGridLines="0" topLeftCell="A2" zoomScaleNormal="100" workbookViewId="0">
      <pane xSplit="1" ySplit="3" topLeftCell="J5" activePane="bottomRight" state="frozen"/>
      <selection activeCell="J9" sqref="J9"/>
      <selection pane="topRight" activeCell="J9" sqref="J9"/>
      <selection pane="bottomLeft" activeCell="J9" sqref="J9"/>
      <selection pane="bottomRight" activeCell="T19" sqref="T1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8" bestFit="1" customWidth="1"/>
    <col min="6" max="6" width="13.85546875" style="1" bestFit="1" customWidth="1"/>
    <col min="7" max="7" width="25.7109375" bestFit="1" customWidth="1"/>
    <col min="8" max="9" width="9.42578125" bestFit="1" customWidth="1"/>
    <col min="10" max="10" width="13.42578125" bestFit="1" customWidth="1"/>
    <col min="11" max="11" width="9.42578125" bestFit="1" customWidth="1"/>
    <col min="12"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c r="A1" s="16"/>
      <c r="Z1">
        <v>52</v>
      </c>
    </row>
    <row r="2" spans="1:26" s="5" customFormat="1" ht="29.25" customHeight="1" thickBot="1">
      <c r="A2" s="22"/>
      <c r="B2" s="106" t="s">
        <v>44</v>
      </c>
      <c r="C2" s="106"/>
      <c r="D2" s="106"/>
      <c r="E2" s="106"/>
      <c r="F2" s="106"/>
      <c r="G2" s="106"/>
      <c r="H2" s="106"/>
      <c r="I2" s="106"/>
      <c r="J2" s="106"/>
      <c r="K2" s="106"/>
      <c r="L2" s="106"/>
      <c r="M2" s="106"/>
      <c r="N2" s="106"/>
      <c r="O2" s="106"/>
      <c r="P2" s="106"/>
    </row>
    <row r="3" spans="1:26" s="4" customFormat="1" ht="9" customHeight="1" thickTop="1">
      <c r="A3" s="22"/>
      <c r="C3" s="21"/>
      <c r="F3" s="34"/>
    </row>
    <row r="4" spans="1:26" s="13" customFormat="1" ht="15" customHeight="1">
      <c r="A4" s="22"/>
      <c r="B4" s="20" t="s">
        <v>11</v>
      </c>
      <c r="C4" s="17" t="s">
        <v>1</v>
      </c>
      <c r="D4" s="17" t="s">
        <v>0</v>
      </c>
      <c r="E4" s="17" t="s">
        <v>45</v>
      </c>
      <c r="F4" s="17" t="s">
        <v>46</v>
      </c>
      <c r="G4" s="17" t="s">
        <v>55</v>
      </c>
      <c r="H4" s="17" t="s">
        <v>22</v>
      </c>
      <c r="I4" s="17" t="s">
        <v>47</v>
      </c>
      <c r="J4" s="17" t="s">
        <v>19</v>
      </c>
      <c r="K4" s="17" t="s">
        <v>48</v>
      </c>
      <c r="L4" s="17" t="s">
        <v>128</v>
      </c>
      <c r="M4" s="17" t="s">
        <v>49</v>
      </c>
      <c r="N4" s="17" t="s">
        <v>50</v>
      </c>
      <c r="O4" s="17" t="s">
        <v>51</v>
      </c>
      <c r="P4" s="17" t="s">
        <v>52</v>
      </c>
      <c r="Q4" s="17" t="s">
        <v>53</v>
      </c>
      <c r="R4" s="17" t="s">
        <v>54</v>
      </c>
      <c r="S4" s="17" t="s">
        <v>249</v>
      </c>
      <c r="T4" s="17" t="s">
        <v>201</v>
      </c>
      <c r="U4" s="17" t="s">
        <v>203</v>
      </c>
      <c r="V4" s="17" t="s">
        <v>2</v>
      </c>
      <c r="W4" s="17" t="s">
        <v>17</v>
      </c>
    </row>
    <row r="5" spans="1:26">
      <c r="B5" s="85">
        <f>IF(ProductCosts[[#This Row],[Active]]=TRUE,1,0)</f>
        <v>1</v>
      </c>
      <c r="C5" s="86" t="b">
        <v>1</v>
      </c>
      <c r="D5" s="87" t="s">
        <v>277</v>
      </c>
      <c r="E5" s="15" t="s">
        <v>166</v>
      </c>
      <c r="F5" s="15" t="s">
        <v>233</v>
      </c>
      <c r="G5" s="15" t="s">
        <v>57</v>
      </c>
      <c r="H5" s="15">
        <v>3</v>
      </c>
      <c r="I5" s="15">
        <v>0</v>
      </c>
      <c r="J5" s="15" t="s">
        <v>230</v>
      </c>
      <c r="K5" s="15" t="s">
        <v>231</v>
      </c>
      <c r="L5" s="15"/>
      <c r="M5" s="15">
        <v>630</v>
      </c>
      <c r="N5" s="15">
        <v>796</v>
      </c>
      <c r="O5" s="15">
        <v>0</v>
      </c>
      <c r="P5" s="15">
        <v>0.2</v>
      </c>
      <c r="Q5" s="15">
        <v>0</v>
      </c>
      <c r="R5" s="15">
        <v>0</v>
      </c>
      <c r="S5" s="15">
        <f>IF(ProductCosts[[#This Row],[Reference Commodity]]="","",INDEX(Commodities[ID],MATCH(ProductCosts[[#This Row],[Reference Commodity]],Commodities[Code],0)))</f>
        <v>915</v>
      </c>
      <c r="T5" s="7">
        <f>IF(ProductCosts[[#This Row],[Material Type]]="","",INDEX(MaterialTypes[ID],MATCH(ProductCosts[[#This Row],[Material Type]],MaterialTypes[Code],0)))</f>
        <v>16</v>
      </c>
      <c r="U5" s="7">
        <f>IF(ProductCosts[[#This Row],[Reference Commodity]]="","",INDEX(Commodities[ID],MATCH(ProductCosts[[#This Row],[Reference Commodity]],Commodities[Code],0)))</f>
        <v>915</v>
      </c>
      <c r="V5">
        <v>43</v>
      </c>
      <c r="W5" s="88">
        <v>74</v>
      </c>
    </row>
    <row r="6" spans="1:26">
      <c r="B6" s="94">
        <f>IF(ProductCosts[[#This Row],[Active]]=TRUE,1,0)</f>
        <v>1</v>
      </c>
      <c r="C6" s="95" t="b">
        <v>1</v>
      </c>
      <c r="D6" s="96" t="s">
        <v>232</v>
      </c>
      <c r="E6" s="15" t="s">
        <v>183</v>
      </c>
      <c r="F6" s="15" t="s">
        <v>233</v>
      </c>
      <c r="G6" s="15" t="s">
        <v>57</v>
      </c>
      <c r="H6" s="15">
        <v>5</v>
      </c>
      <c r="I6" s="15">
        <v>-2.5299999999999998</v>
      </c>
      <c r="J6" s="15" t="s">
        <v>230</v>
      </c>
      <c r="K6" s="15" t="s">
        <v>231</v>
      </c>
      <c r="L6" s="15"/>
      <c r="M6" s="15">
        <v>796</v>
      </c>
      <c r="N6" s="15">
        <v>876</v>
      </c>
      <c r="O6" s="15">
        <v>0.5</v>
      </c>
      <c r="P6" s="15">
        <v>5</v>
      </c>
      <c r="Q6" s="15"/>
      <c r="R6" s="15"/>
      <c r="S6" s="7">
        <f>IF(ProductCosts[[#This Row],[Reference Commodity]]="","",INDEX(Commodities[ID],MATCH(ProductCosts[[#This Row],[Reference Commodity]],Commodities[Code],0)))</f>
        <v>915</v>
      </c>
      <c r="T6" s="7">
        <f>IF(ProductCosts[[#This Row],[Material Type]]="","",INDEX(MaterialTypes[ID],MATCH(ProductCosts[[#This Row],[Material Type]],MaterialTypes[Code],0)))</f>
        <v>8</v>
      </c>
      <c r="U6" s="7">
        <f>IF(ProductCosts[[#This Row],[Reference Commodity]]="","",INDEX(Commodities[ID],MATCH(ProductCosts[[#This Row],[Reference Commodity]],Commodities[Code],0)))</f>
        <v>915</v>
      </c>
      <c r="V6">
        <v>43</v>
      </c>
      <c r="W6" s="98">
        <v>75</v>
      </c>
    </row>
    <row r="7" spans="1:26">
      <c r="B7" s="94">
        <f>IF(ProductCosts[[#This Row],[Active]]=TRUE,1,0)</f>
        <v>1</v>
      </c>
      <c r="C7" s="95" t="b">
        <v>1</v>
      </c>
      <c r="D7" s="96" t="s">
        <v>234</v>
      </c>
      <c r="E7" s="15" t="s">
        <v>191</v>
      </c>
      <c r="F7" s="15" t="s">
        <v>233</v>
      </c>
      <c r="G7" s="15" t="s">
        <v>57</v>
      </c>
      <c r="H7" s="15">
        <v>6</v>
      </c>
      <c r="I7" s="15">
        <v>-3.82</v>
      </c>
      <c r="J7" s="15" t="s">
        <v>230</v>
      </c>
      <c r="K7" s="15" t="s">
        <v>231</v>
      </c>
      <c r="L7" s="15"/>
      <c r="M7" s="15">
        <v>876</v>
      </c>
      <c r="N7" s="15">
        <v>904</v>
      </c>
      <c r="O7" s="15">
        <v>0.5</v>
      </c>
      <c r="P7" s="15">
        <v>5</v>
      </c>
      <c r="Q7" s="15"/>
      <c r="R7" s="15"/>
      <c r="S7" s="7">
        <f>IF(ProductCosts[[#This Row],[Reference Commodity]]="","",INDEX(Commodities[ID],MATCH(ProductCosts[[#This Row],[Reference Commodity]],Commodities[Code],0)))</f>
        <v>915</v>
      </c>
      <c r="T7" s="7">
        <f>IF(ProductCosts[[#This Row],[Material Type]]="","",INDEX(MaterialTypes[ID],MATCH(ProductCosts[[#This Row],[Material Type]],MaterialTypes[Code],0)))</f>
        <v>15</v>
      </c>
      <c r="U7" s="7">
        <f>IF(ProductCosts[[#This Row],[Reference Commodity]]="","",INDEX(Commodities[ID],MATCH(ProductCosts[[#This Row],[Reference Commodity]],Commodities[Code],0)))</f>
        <v>915</v>
      </c>
      <c r="V7">
        <v>43</v>
      </c>
      <c r="W7" s="98">
        <v>76</v>
      </c>
    </row>
    <row r="8" spans="1:26">
      <c r="B8" s="94">
        <f>IF(ProductCosts[[#This Row],[Active]]=TRUE,1,0)</f>
        <v>1</v>
      </c>
      <c r="C8" s="95" t="b">
        <v>1</v>
      </c>
      <c r="D8" s="96" t="s">
        <v>310</v>
      </c>
      <c r="E8" s="15" t="s">
        <v>163</v>
      </c>
      <c r="F8" s="15" t="s">
        <v>233</v>
      </c>
      <c r="G8" s="15" t="s">
        <v>57</v>
      </c>
      <c r="H8" s="15">
        <v>4</v>
      </c>
      <c r="I8" s="15">
        <v>-1.5</v>
      </c>
      <c r="J8" s="15" t="s">
        <v>230</v>
      </c>
      <c r="K8" s="15" t="s">
        <v>231</v>
      </c>
      <c r="L8" s="15"/>
      <c r="M8" s="15">
        <v>825</v>
      </c>
      <c r="N8" s="15">
        <v>900</v>
      </c>
      <c r="O8" s="15">
        <v>0</v>
      </c>
      <c r="P8" s="15">
        <v>0.5</v>
      </c>
      <c r="Q8" s="15">
        <v>0</v>
      </c>
      <c r="R8" s="15">
        <v>0</v>
      </c>
      <c r="S8" s="7">
        <f>IF(ProductCosts[[#This Row],[Reference Commodity]]="","",INDEX(Commodities[ID],MATCH(ProductCosts[[#This Row],[Reference Commodity]],Commodities[Code],0)))</f>
        <v>915</v>
      </c>
      <c r="T8" s="7">
        <f>IF(ProductCosts[[#This Row],[Material Type]]="","",INDEX(MaterialTypes[ID],MATCH(ProductCosts[[#This Row],[Material Type]],MaterialTypes[Code],0)))</f>
        <v>17</v>
      </c>
      <c r="U8" s="7">
        <f>IF(ProductCosts[[#This Row],[Reference Commodity]]="","",INDEX(Commodities[ID],MATCH(ProductCosts[[#This Row],[Reference Commodity]],Commodities[Code],0)))</f>
        <v>915</v>
      </c>
      <c r="V8">
        <v>43</v>
      </c>
      <c r="W8" s="98">
        <v>77</v>
      </c>
    </row>
    <row r="9" spans="1:26">
      <c r="B9" s="94">
        <f>IF(ProductCosts[[#This Row],[Active]]=TRUE,1,0)</f>
        <v>1</v>
      </c>
      <c r="C9" s="95" t="b">
        <v>1</v>
      </c>
      <c r="D9" s="96" t="s">
        <v>250</v>
      </c>
      <c r="E9" s="15" t="s">
        <v>56</v>
      </c>
      <c r="F9" s="15" t="s">
        <v>251</v>
      </c>
      <c r="G9" s="15"/>
      <c r="H9" s="15">
        <v>1</v>
      </c>
      <c r="I9" s="15">
        <v>51.12</v>
      </c>
      <c r="J9" s="15" t="s">
        <v>230</v>
      </c>
      <c r="K9" s="15" t="s">
        <v>231</v>
      </c>
      <c r="L9" s="15"/>
      <c r="M9" s="15">
        <v>796</v>
      </c>
      <c r="N9" s="15">
        <v>825</v>
      </c>
      <c r="O9" s="15">
        <v>0</v>
      </c>
      <c r="P9" s="15">
        <v>0.5</v>
      </c>
      <c r="Q9" s="15"/>
      <c r="R9" s="15"/>
      <c r="S9" s="7" t="str">
        <f>IF(ProductCosts[[#This Row],[Reference Commodity]]="","",INDEX(Commodities[ID],MATCH(ProductCosts[[#This Row],[Reference Commodity]],Commodities[Code],0)))</f>
        <v/>
      </c>
      <c r="T9" s="7">
        <f>IF(ProductCosts[[#This Row],[Material Type]]="","",INDEX(MaterialTypes[ID],MATCH(ProductCosts[[#This Row],[Material Type]],MaterialTypes[Code],0)))</f>
        <v>9</v>
      </c>
      <c r="U9" s="7" t="str">
        <f>IF(ProductCosts[[#This Row],[Reference Commodity]]="","",INDEX(Commodities[ID],MATCH(ProductCosts[[#This Row],[Reference Commodity]],Commodities[Code],0)))</f>
        <v/>
      </c>
      <c r="V9">
        <v>43</v>
      </c>
      <c r="W9" s="98">
        <v>78</v>
      </c>
    </row>
    <row r="10" spans="1:26">
      <c r="B10" s="94">
        <f>IF(ProductCosts[[#This Row],[Active]]=TRUE,1,0)</f>
        <v>1</v>
      </c>
      <c r="C10" s="95" t="b">
        <v>1</v>
      </c>
      <c r="D10" s="96" t="s">
        <v>311</v>
      </c>
      <c r="E10" s="15" t="s">
        <v>171</v>
      </c>
      <c r="F10" s="15" t="s">
        <v>233</v>
      </c>
      <c r="G10" s="15" t="s">
        <v>57</v>
      </c>
      <c r="H10" s="15">
        <v>7</v>
      </c>
      <c r="I10" s="15">
        <v>-9.4</v>
      </c>
      <c r="J10" s="15" t="s">
        <v>230</v>
      </c>
      <c r="K10" s="15" t="s">
        <v>231</v>
      </c>
      <c r="L10" s="15"/>
      <c r="M10" s="15">
        <v>904</v>
      </c>
      <c r="N10" s="15">
        <v>1000</v>
      </c>
      <c r="O10" s="15">
        <v>0.5</v>
      </c>
      <c r="P10" s="15">
        <v>5</v>
      </c>
      <c r="Q10" s="15"/>
      <c r="R10" s="15"/>
      <c r="S10" s="7">
        <f>IF(ProductCosts[[#This Row],[Reference Commodity]]="","",INDEX(Commodities[ID],MATCH(ProductCosts[[#This Row],[Reference Commodity]],Commodities[Code],0)))</f>
        <v>915</v>
      </c>
      <c r="T10" s="7">
        <f>IF(ProductCosts[[#This Row],[Material Type]]="","",INDEX(MaterialTypes[ID],MATCH(ProductCosts[[#This Row],[Material Type]],MaterialTypes[Code],0)))</f>
        <v>2</v>
      </c>
      <c r="U10" s="7">
        <f>IF(ProductCosts[[#This Row],[Reference Commodity]]="","",INDEX(Commodities[ID],MATCH(ProductCosts[[#This Row],[Reference Commodity]],Commodities[Code],0)))</f>
        <v>915</v>
      </c>
      <c r="V10">
        <v>43</v>
      </c>
      <c r="W10" s="98">
        <v>79</v>
      </c>
    </row>
    <row r="11" spans="1:26">
      <c r="B11" s="94">
        <f>IF(ProductCosts[[#This Row],[Active]]=TRUE,1,0)</f>
        <v>1</v>
      </c>
      <c r="C11" s="95" t="b">
        <v>1</v>
      </c>
      <c r="D11" s="96" t="s">
        <v>235</v>
      </c>
      <c r="E11" s="15" t="s">
        <v>140</v>
      </c>
      <c r="F11" s="15" t="s">
        <v>236</v>
      </c>
      <c r="G11" s="15" t="s">
        <v>57</v>
      </c>
      <c r="H11" s="15">
        <v>2</v>
      </c>
      <c r="I11" s="15">
        <v>0.5</v>
      </c>
      <c r="J11" s="15"/>
      <c r="K11" s="15" t="s">
        <v>231</v>
      </c>
      <c r="L11" s="15"/>
      <c r="M11" s="15">
        <v>500</v>
      </c>
      <c r="N11" s="15">
        <v>630</v>
      </c>
      <c r="O11" s="15">
        <v>0</v>
      </c>
      <c r="P11" s="15">
        <v>0</v>
      </c>
      <c r="Q11" s="15"/>
      <c r="R11" s="15"/>
      <c r="S11" s="7">
        <f>IF(ProductCosts[[#This Row],[Reference Commodity]]="","",INDEX(Commodities[ID],MATCH(ProductCosts[[#This Row],[Reference Commodity]],Commodities[Code],0)))</f>
        <v>915</v>
      </c>
      <c r="T11" s="7">
        <f>IF(ProductCosts[[#This Row],[Material Type]]="","",INDEX(MaterialTypes[ID],MATCH(ProductCosts[[#This Row],[Material Type]],MaterialTypes[Code],0)))</f>
        <v>14</v>
      </c>
      <c r="U11" s="7">
        <f>IF(ProductCosts[[#This Row],[Reference Commodity]]="","",INDEX(Commodities[ID],MATCH(ProductCosts[[#This Row],[Reference Commodity]],Commodities[Code],0)))</f>
        <v>915</v>
      </c>
      <c r="V11">
        <v>43</v>
      </c>
      <c r="W11" s="98">
        <v>80</v>
      </c>
    </row>
  </sheetData>
  <dataConsolidate/>
  <mergeCells count="1">
    <mergeCell ref="B2:P2"/>
  </mergeCells>
  <conditionalFormatting sqref="B5:D11 W5:W11">
    <cfRule type="expression" dxfId="44" priority="1">
      <formula>$C5 = FALSE</formula>
    </cfRule>
  </conditionalFormatting>
  <conditionalFormatting sqref="C5:C11">
    <cfRule type="containsText" dxfId="43" priority="2" operator="containsText" text="TRUE">
      <formula>NOT(ISERROR(SEARCH("TRUE",C5)))</formula>
    </cfRule>
    <cfRule type="containsText" dxfId="42" priority="3" operator="containsText" text="FALSE">
      <formula>NOT(ISERROR(SEARCH("FALSE",C5)))</formula>
    </cfRule>
  </conditionalFormatting>
  <dataValidations count="7">
    <dataValidation type="list" allowBlank="1" showInputMessage="1" showErrorMessage="1" sqref="C5:C11" xr:uid="{00000000-0002-0000-0700-000000000000}">
      <formula1>"TRUE, FALSE"</formula1>
    </dataValidation>
    <dataValidation type="list" allowBlank="1" showInputMessage="1" showErrorMessage="1" sqref="F5:F11" xr:uid="{00000000-0002-0000-0700-000001000000}">
      <formula1>"FIXED, GAP, RELATIVE"</formula1>
    </dataValidation>
    <dataValidation type="list" allowBlank="1" showInputMessage="1" showErrorMessage="1" sqref="G5:G11" xr:uid="{00000000-0002-0000-0700-000002000000}">
      <formula1>INDIRECT("Commodities[Code]")</formula1>
    </dataValidation>
    <dataValidation type="list" allowBlank="1" showInputMessage="1" showErrorMessage="1" sqref="J5:J11" xr:uid="{00000000-0002-0000-0700-000003000000}">
      <formula1>"CAD, USD"</formula1>
    </dataValidation>
    <dataValidation type="list" allowBlank="1" showInputMessage="1" showErrorMessage="1" sqref="E5:E11" xr:uid="{00000000-0002-0000-0700-000004000000}">
      <formula1>INDIRECT("MaterialTypes[Code]")</formula1>
    </dataValidation>
    <dataValidation type="list" allowBlank="1" showInputMessage="1" showErrorMessage="1" sqref="K5:L11" xr:uid="{00000000-0002-0000-0700-000005000000}">
      <formula1>"BBL, M3, UNIT"</formula1>
    </dataValidation>
    <dataValidation type="whole" operator="greaterThan" allowBlank="1" showInputMessage="1" showErrorMessage="1" sqref="H5:H11" xr:uid="{00000000-0002-0000-0700-000006000000}">
      <formula1>0</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49"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92D050"/>
    <pageSetUpPr fitToPage="1"/>
  </sheetPr>
  <dimension ref="A1:AK11"/>
  <sheetViews>
    <sheetView showGridLines="0" topLeftCell="A2" zoomScaleNormal="100" workbookViewId="0">
      <pane xSplit="1" ySplit="3" topLeftCell="Y5" activePane="bottomRight" state="frozen"/>
      <selection activeCell="J9" sqref="J9"/>
      <selection pane="topRight" activeCell="J9" sqref="J9"/>
      <selection pane="bottomLeft" activeCell="J9" sqref="J9"/>
      <selection pane="bottomRight" activeCell="AD18" sqref="AD18"/>
    </sheetView>
  </sheetViews>
  <sheetFormatPr defaultRowHeight="15"/>
  <cols>
    <col min="1" max="1" width="21.28515625" style="22" customWidth="1"/>
    <col min="2" max="2" width="6.42578125" customWidth="1"/>
    <col min="3" max="3" width="11.140625" style="15" customWidth="1"/>
    <col min="4" max="4" width="10.140625" bestFit="1"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8.28515625"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106" t="s">
        <v>70</v>
      </c>
      <c r="C2" s="106"/>
      <c r="D2" s="106"/>
      <c r="E2" s="106"/>
      <c r="F2" s="106"/>
      <c r="G2" s="106"/>
      <c r="H2" s="24"/>
    </row>
    <row r="3" spans="1:37" s="4" customFormat="1" ht="9" customHeight="1" thickTop="1">
      <c r="A3" s="22"/>
      <c r="C3" s="21"/>
    </row>
    <row r="4" spans="1:37" s="13" customFormat="1" ht="15" customHeight="1">
      <c r="A4" s="22"/>
      <c r="B4" s="20" t="s">
        <v>11</v>
      </c>
      <c r="C4" s="19" t="s">
        <v>1</v>
      </c>
      <c r="D4" s="19" t="s">
        <v>0</v>
      </c>
      <c r="E4" s="19" t="s">
        <v>71</v>
      </c>
      <c r="F4" s="19" t="s">
        <v>38</v>
      </c>
      <c r="G4" s="19" t="s">
        <v>72</v>
      </c>
      <c r="H4" s="19" t="s">
        <v>73</v>
      </c>
      <c r="I4" s="19" t="s">
        <v>74</v>
      </c>
      <c r="J4" s="19" t="s">
        <v>75</v>
      </c>
      <c r="K4" s="19" t="s">
        <v>76</v>
      </c>
      <c r="L4" s="19" t="s">
        <v>87</v>
      </c>
      <c r="M4" s="19" t="s">
        <v>77</v>
      </c>
      <c r="N4" s="19" t="s">
        <v>78</v>
      </c>
      <c r="O4" s="19" t="s">
        <v>129</v>
      </c>
      <c r="P4" s="19" t="s">
        <v>130</v>
      </c>
      <c r="Q4" s="19" t="s">
        <v>131</v>
      </c>
      <c r="R4" s="19" t="s">
        <v>79</v>
      </c>
      <c r="S4" s="19" t="s">
        <v>132</v>
      </c>
      <c r="T4" s="19" t="s">
        <v>133</v>
      </c>
      <c r="U4" s="19" t="s">
        <v>134</v>
      </c>
      <c r="V4" s="19" t="s">
        <v>80</v>
      </c>
      <c r="W4" s="19" t="s">
        <v>135</v>
      </c>
      <c r="X4" s="19" t="s">
        <v>81</v>
      </c>
      <c r="Y4" s="19" t="s">
        <v>136</v>
      </c>
      <c r="Z4" s="19" t="s">
        <v>82</v>
      </c>
      <c r="AA4" s="19" t="s">
        <v>83</v>
      </c>
      <c r="AB4" s="19" t="s">
        <v>84</v>
      </c>
      <c r="AC4" s="19" t="s">
        <v>85</v>
      </c>
      <c r="AD4" s="19" t="s">
        <v>86</v>
      </c>
      <c r="AE4" s="19" t="s">
        <v>137</v>
      </c>
      <c r="AF4" s="19" t="s">
        <v>43</v>
      </c>
      <c r="AG4" s="19" t="s">
        <v>120</v>
      </c>
      <c r="AH4" s="19" t="s">
        <v>203</v>
      </c>
      <c r="AI4" s="19" t="s">
        <v>123</v>
      </c>
      <c r="AJ4" s="19" t="s">
        <v>2</v>
      </c>
      <c r="AK4" s="19" t="s">
        <v>17</v>
      </c>
    </row>
    <row r="5" spans="1:37">
      <c r="A5" s="23"/>
      <c r="B5" s="26">
        <f>IF(Nominations[[#This Row],[Active]]=TRUE,1,0)</f>
        <v>1</v>
      </c>
      <c r="C5" s="40" t="b">
        <v>1</v>
      </c>
      <c r="D5" s="35" t="s">
        <v>88</v>
      </c>
      <c r="E5" s="35">
        <v>1</v>
      </c>
      <c r="F5" s="42" t="s">
        <v>31</v>
      </c>
      <c r="G5" s="35" t="s">
        <v>31</v>
      </c>
      <c r="H5" s="35" t="s">
        <v>89</v>
      </c>
      <c r="I5" s="40" t="s">
        <v>90</v>
      </c>
      <c r="J5" s="40" t="b">
        <v>1</v>
      </c>
      <c r="K5" s="35">
        <v>780</v>
      </c>
      <c r="L5" s="40">
        <v>0.05</v>
      </c>
      <c r="M5" s="35">
        <v>0</v>
      </c>
      <c r="N5" s="35">
        <v>1010</v>
      </c>
      <c r="O5" s="35" t="b">
        <v>0</v>
      </c>
      <c r="P5" s="35"/>
      <c r="Q5" s="35"/>
      <c r="R5" s="35">
        <v>841.5</v>
      </c>
      <c r="S5" s="35">
        <v>0.05</v>
      </c>
      <c r="T5" s="40">
        <v>1.21</v>
      </c>
      <c r="U5" s="40">
        <v>0.05</v>
      </c>
      <c r="V5" s="40"/>
      <c r="W5" s="40"/>
      <c r="X5" s="40">
        <v>77.3</v>
      </c>
      <c r="Y5" s="40">
        <v>0.05</v>
      </c>
      <c r="Z5" s="40"/>
      <c r="AA5" s="40"/>
      <c r="AB5" s="40"/>
      <c r="AC5" s="40"/>
      <c r="AD5" s="40"/>
      <c r="AE5" s="40"/>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43</v>
      </c>
      <c r="AK5" s="32">
        <v>366</v>
      </c>
    </row>
    <row r="6" spans="1:37">
      <c r="B6" s="94">
        <f>IF(Nominations[[#This Row],[Active]]=TRUE,1,0)</f>
        <v>1</v>
      </c>
      <c r="C6" s="101" t="b">
        <v>1</v>
      </c>
      <c r="D6" s="96" t="s">
        <v>279</v>
      </c>
      <c r="E6" s="96">
        <v>2</v>
      </c>
      <c r="F6" s="102" t="s">
        <v>293</v>
      </c>
      <c r="G6" s="96" t="s">
        <v>296</v>
      </c>
      <c r="H6" s="96" t="s">
        <v>69</v>
      </c>
      <c r="I6" s="64" t="s">
        <v>90</v>
      </c>
      <c r="J6" s="64" t="b">
        <v>1</v>
      </c>
      <c r="K6" s="65">
        <v>750</v>
      </c>
      <c r="L6" s="100">
        <v>0.05</v>
      </c>
      <c r="M6" s="65">
        <v>0</v>
      </c>
      <c r="N6" s="65">
        <v>1000</v>
      </c>
      <c r="O6" s="65" t="b">
        <v>0</v>
      </c>
      <c r="P6" s="65"/>
      <c r="Q6" s="65"/>
      <c r="R6" s="65">
        <v>885.8</v>
      </c>
      <c r="S6" s="65">
        <v>0.05</v>
      </c>
      <c r="T6" s="100">
        <v>2.2000000000000002</v>
      </c>
      <c r="U6" s="100">
        <v>0.05</v>
      </c>
      <c r="V6" s="100"/>
      <c r="W6" s="100"/>
      <c r="X6" s="100">
        <v>45.6</v>
      </c>
      <c r="Y6" s="100">
        <v>0.05</v>
      </c>
      <c r="Z6" s="100"/>
      <c r="AA6" s="100">
        <v>1.2689999999999999</v>
      </c>
      <c r="AB6" s="100" t="s">
        <v>21</v>
      </c>
      <c r="AC6" s="100" t="s">
        <v>278</v>
      </c>
      <c r="AD6" s="100"/>
      <c r="AE6" s="100"/>
      <c r="AF6" s="100">
        <f>IF(Nominations[[#This Row],[Shipper]]="","",INDEX(Shippers[ID],MATCH(Nominations[[#This Row],[Shipper]],Shippers[Code],0)))</f>
        <v>2</v>
      </c>
      <c r="AG6" s="100">
        <f>IF(Nominations[[#This Row],[Site]]="","",INDEX(Sites[ID],MATCH(Nominations[[#This Row],[Site]],Sites[Code],0)))</f>
        <v>925</v>
      </c>
      <c r="AH6" s="100">
        <f>IF(Nominations[[#This Row],[Commodity]]="","",INDEX(Commodities[ID],MATCH(Nominations[[#This Row],[Commodity]],Commodities[Code],0)))</f>
        <v>913</v>
      </c>
      <c r="AI6" s="100">
        <f>IF(Nominations[[#This Row],[Transport Method]]="","",INDEX(TransportMethods[ID],MATCH(Nominations[[#This Row],[Transport Method]],TransportMethods[Code],0)))</f>
        <v>2</v>
      </c>
      <c r="AJ6" s="98">
        <v>43</v>
      </c>
      <c r="AK6" s="98">
        <v>367</v>
      </c>
    </row>
    <row r="7" spans="1:37">
      <c r="B7" s="94">
        <f>IF(Nominations[[#This Row],[Active]]=TRUE,1,0)</f>
        <v>1</v>
      </c>
      <c r="C7" s="101" t="b">
        <v>1</v>
      </c>
      <c r="D7" s="96" t="s">
        <v>280</v>
      </c>
      <c r="E7" s="96">
        <v>4</v>
      </c>
      <c r="F7" s="102" t="s">
        <v>293</v>
      </c>
      <c r="G7" s="96" t="s">
        <v>297</v>
      </c>
      <c r="H7" s="96" t="s">
        <v>166</v>
      </c>
      <c r="I7" s="64" t="s">
        <v>90</v>
      </c>
      <c r="J7" s="64" t="b">
        <v>1</v>
      </c>
      <c r="K7" s="65">
        <v>80</v>
      </c>
      <c r="L7" s="100">
        <v>0.05</v>
      </c>
      <c r="M7" s="65">
        <v>0</v>
      </c>
      <c r="N7" s="65">
        <v>10000</v>
      </c>
      <c r="O7" s="65" t="b">
        <v>0</v>
      </c>
      <c r="P7" s="65"/>
      <c r="Q7" s="65"/>
      <c r="R7" s="65">
        <v>768.7</v>
      </c>
      <c r="S7" s="65">
        <v>0.05</v>
      </c>
      <c r="T7" s="100">
        <v>0.2</v>
      </c>
      <c r="U7" s="100">
        <v>0.05</v>
      </c>
      <c r="V7" s="100"/>
      <c r="W7" s="100"/>
      <c r="X7" s="100">
        <v>112</v>
      </c>
      <c r="Y7" s="100">
        <v>0.05</v>
      </c>
      <c r="Z7" s="100"/>
      <c r="AA7" s="100">
        <v>-42.300699999999999</v>
      </c>
      <c r="AB7" s="100" t="s">
        <v>21</v>
      </c>
      <c r="AC7" s="100" t="s">
        <v>278</v>
      </c>
      <c r="AD7" s="100"/>
      <c r="AE7" s="100"/>
      <c r="AF7" s="100">
        <f>IF(Nominations[[#This Row],[Shipper]]="","",INDEX(Shippers[ID],MATCH(Nominations[[#This Row],[Shipper]],Shippers[Code],0)))</f>
        <v>2</v>
      </c>
      <c r="AG7" s="100">
        <f>IF(Nominations[[#This Row],[Site]]="","",INDEX(Sites[ID],MATCH(Nominations[[#This Row],[Site]],Sites[Code],0)))</f>
        <v>927</v>
      </c>
      <c r="AH7" s="100">
        <f>IF(Nominations[[#This Row],[Commodity]]="","",INDEX(Commodities[ID],MATCH(Nominations[[#This Row],[Commodity]],Commodities[Code],0)))</f>
        <v>911</v>
      </c>
      <c r="AI7" s="100">
        <f>IF(Nominations[[#This Row],[Transport Method]]="","",INDEX(TransportMethods[ID],MATCH(Nominations[[#This Row],[Transport Method]],TransportMethods[Code],0)))</f>
        <v>2</v>
      </c>
      <c r="AJ7" s="98">
        <v>43</v>
      </c>
      <c r="AK7" s="98">
        <v>369</v>
      </c>
    </row>
    <row r="8" spans="1:37">
      <c r="B8" s="94">
        <f>IF(Nominations[[#This Row],[Active]]=TRUE,1,0)</f>
        <v>1</v>
      </c>
      <c r="C8" s="101" t="b">
        <v>1</v>
      </c>
      <c r="D8" s="96" t="s">
        <v>312</v>
      </c>
      <c r="E8" s="96">
        <v>5</v>
      </c>
      <c r="F8" s="102" t="s">
        <v>292</v>
      </c>
      <c r="G8" s="96" t="s">
        <v>295</v>
      </c>
      <c r="H8" s="96" t="s">
        <v>163</v>
      </c>
      <c r="I8" s="64" t="s">
        <v>90</v>
      </c>
      <c r="J8" s="64" t="b">
        <v>1</v>
      </c>
      <c r="K8" s="65">
        <v>130</v>
      </c>
      <c r="L8" s="100">
        <v>0.05</v>
      </c>
      <c r="M8" s="65">
        <v>0</v>
      </c>
      <c r="N8" s="65">
        <v>310</v>
      </c>
      <c r="O8" s="65" t="b">
        <v>0</v>
      </c>
      <c r="P8" s="65"/>
      <c r="Q8" s="65"/>
      <c r="R8" s="65">
        <v>840.4</v>
      </c>
      <c r="S8" s="65">
        <v>0.05</v>
      </c>
      <c r="T8" s="100">
        <v>0.35</v>
      </c>
      <c r="U8" s="100">
        <v>0.05</v>
      </c>
      <c r="V8" s="100"/>
      <c r="W8" s="100"/>
      <c r="X8" s="100">
        <v>70.2</v>
      </c>
      <c r="Y8" s="100">
        <v>0.05</v>
      </c>
      <c r="Z8" s="100"/>
      <c r="AA8" s="100"/>
      <c r="AB8" s="100"/>
      <c r="AC8" s="100"/>
      <c r="AD8" s="100"/>
      <c r="AE8" s="100"/>
      <c r="AF8" s="100">
        <f>IF(Nominations[[#This Row],[Shipper]]="","",INDEX(Shippers[ID],MATCH(Nominations[[#This Row],[Shipper]],Shippers[Code],0)))</f>
        <v>3</v>
      </c>
      <c r="AG8" s="100">
        <f>IF(Nominations[[#This Row],[Site]]="","",INDEX(Sites[ID],MATCH(Nominations[[#This Row],[Site]],Sites[Code],0)))</f>
        <v>928</v>
      </c>
      <c r="AH8" s="100">
        <f>IF(Nominations[[#This Row],[Commodity]]="","",INDEX(Commodities[ID],MATCH(Nominations[[#This Row],[Commodity]],Commodities[Code],0)))</f>
        <v>893</v>
      </c>
      <c r="AI8" s="100">
        <f>IF(Nominations[[#This Row],[Transport Method]]="","",INDEX(TransportMethods[ID],MATCH(Nominations[[#This Row],[Transport Method]],TransportMethods[Code],0)))</f>
        <v>2</v>
      </c>
      <c r="AJ8" s="98">
        <v>43</v>
      </c>
      <c r="AK8" s="98">
        <v>370</v>
      </c>
    </row>
    <row r="9" spans="1:37">
      <c r="B9" s="94">
        <f>IF(Nominations[[#This Row],[Active]]=TRUE,1,0)</f>
        <v>1</v>
      </c>
      <c r="C9" s="101" t="b">
        <v>1</v>
      </c>
      <c r="D9" s="96" t="s">
        <v>313</v>
      </c>
      <c r="E9" s="96">
        <v>27</v>
      </c>
      <c r="F9" s="102" t="s">
        <v>294</v>
      </c>
      <c r="G9" s="96" t="s">
        <v>299</v>
      </c>
      <c r="H9" s="96" t="s">
        <v>89</v>
      </c>
      <c r="I9" s="64" t="s">
        <v>91</v>
      </c>
      <c r="J9" s="64" t="b">
        <v>0</v>
      </c>
      <c r="K9" s="65">
        <v>86400</v>
      </c>
      <c r="L9" s="100">
        <v>0.05</v>
      </c>
      <c r="M9" s="65">
        <v>20000</v>
      </c>
      <c r="N9" s="65">
        <v>89000</v>
      </c>
      <c r="O9" s="65" t="b">
        <v>0</v>
      </c>
      <c r="P9" s="65"/>
      <c r="Q9" s="65"/>
      <c r="R9" s="65">
        <v>843.9</v>
      </c>
      <c r="S9" s="65">
        <v>0.05</v>
      </c>
      <c r="T9" s="100">
        <v>1.1599999999999999</v>
      </c>
      <c r="U9" s="100">
        <v>0.05</v>
      </c>
      <c r="V9" s="100"/>
      <c r="W9" s="100"/>
      <c r="X9" s="100">
        <v>81</v>
      </c>
      <c r="Y9" s="100">
        <v>0.05</v>
      </c>
      <c r="Z9" s="100"/>
      <c r="AA9" s="100"/>
      <c r="AB9" s="100"/>
      <c r="AC9" s="100"/>
      <c r="AD9" s="100"/>
      <c r="AE9" s="100"/>
      <c r="AF9" s="100">
        <f>IF(Nominations[[#This Row],[Shipper]]="","",INDEX(Shippers[ID],MATCH(Nominations[[#This Row],[Shipper]],Shippers[Code],0)))</f>
        <v>12</v>
      </c>
      <c r="AG9" s="100">
        <f>IF(Nominations[[#This Row],[Site]]="","",INDEX(Sites[ID],MATCH(Nominations[[#This Row],[Site]],Sites[Code],0)))</f>
        <v>951</v>
      </c>
      <c r="AH9" s="100">
        <f>IF(Nominations[[#This Row],[Commodity]]="","",INDEX(Commodities[ID],MATCH(Nominations[[#This Row],[Commodity]],Commodities[Code],0)))</f>
        <v>912</v>
      </c>
      <c r="AI9" s="100">
        <f>IF(Nominations[[#This Row],[Transport Method]]="","",INDEX(TransportMethods[ID],MATCH(Nominations[[#This Row],[Transport Method]],TransportMethods[Code],0)))</f>
        <v>3</v>
      </c>
      <c r="AJ9" s="98">
        <v>43</v>
      </c>
      <c r="AK9" s="98">
        <v>392</v>
      </c>
    </row>
    <row r="10" spans="1:37">
      <c r="B10" s="94">
        <f>IF(Nominations[[#This Row],[Active]]=TRUE,1,0)</f>
        <v>1</v>
      </c>
      <c r="C10" s="101" t="b">
        <v>1</v>
      </c>
      <c r="D10" s="96" t="s">
        <v>314</v>
      </c>
      <c r="E10" s="96">
        <v>28</v>
      </c>
      <c r="F10" s="102" t="s">
        <v>34</v>
      </c>
      <c r="G10" s="96" t="s">
        <v>34</v>
      </c>
      <c r="H10" s="96" t="s">
        <v>140</v>
      </c>
      <c r="I10" s="64" t="s">
        <v>92</v>
      </c>
      <c r="J10" s="64" t="b">
        <v>0</v>
      </c>
      <c r="K10" s="65">
        <v>1240</v>
      </c>
      <c r="L10" s="100">
        <v>0.05</v>
      </c>
      <c r="M10" s="65">
        <v>0</v>
      </c>
      <c r="N10" s="65">
        <v>1500</v>
      </c>
      <c r="O10" s="65" t="b">
        <v>0</v>
      </c>
      <c r="P10" s="65"/>
      <c r="Q10" s="65"/>
      <c r="R10" s="65">
        <v>575</v>
      </c>
      <c r="S10" s="65">
        <v>0.05</v>
      </c>
      <c r="T10" s="100">
        <v>0</v>
      </c>
      <c r="U10" s="100">
        <v>0.05</v>
      </c>
      <c r="V10" s="100"/>
      <c r="W10" s="100"/>
      <c r="X10" s="100">
        <v>313</v>
      </c>
      <c r="Y10" s="100">
        <v>0.05</v>
      </c>
      <c r="Z10" s="100"/>
      <c r="AA10" s="100">
        <v>-25.948899999999998</v>
      </c>
      <c r="AB10" s="100" t="s">
        <v>21</v>
      </c>
      <c r="AC10" s="100" t="s">
        <v>278</v>
      </c>
      <c r="AD10" s="100"/>
      <c r="AE10" s="100"/>
      <c r="AF10" s="100">
        <f>IF(Nominations[[#This Row],[Shipper]]="","",INDEX(Shippers[ID],MATCH(Nominations[[#This Row],[Shipper]],Shippers[Code],0)))</f>
        <v>16</v>
      </c>
      <c r="AG10" s="100">
        <f>IF(Nominations[[#This Row],[Site]]="","",INDEX(Sites[ID],MATCH(Nominations[[#This Row],[Site]],Sites[Code],0)))</f>
        <v>957</v>
      </c>
      <c r="AH10" s="100">
        <f>IF(Nominations[[#This Row],[Commodity]]="","",INDEX(Commodities[ID],MATCH(Nominations[[#This Row],[Commodity]],Commodities[Code],0)))</f>
        <v>910</v>
      </c>
      <c r="AI10" s="100">
        <f>IF(Nominations[[#This Row],[Transport Method]]="","",INDEX(TransportMethods[ID],MATCH(Nominations[[#This Row],[Transport Method]],TransportMethods[Code],0)))</f>
        <v>4</v>
      </c>
      <c r="AJ10" s="98">
        <v>43</v>
      </c>
      <c r="AK10" s="98">
        <v>393</v>
      </c>
    </row>
    <row r="11" spans="1:37">
      <c r="B11" s="94">
        <f>IF(Nominations[[#This Row],[Active]]=TRUE,1,0)</f>
        <v>1</v>
      </c>
      <c r="C11" s="101" t="b">
        <v>1</v>
      </c>
      <c r="D11" s="96" t="s">
        <v>315</v>
      </c>
      <c r="E11" s="96">
        <v>29</v>
      </c>
      <c r="F11" s="102" t="s">
        <v>35</v>
      </c>
      <c r="G11" s="96" t="s">
        <v>35</v>
      </c>
      <c r="H11" s="96" t="s">
        <v>140</v>
      </c>
      <c r="I11" s="64" t="s">
        <v>92</v>
      </c>
      <c r="J11" s="64" t="b">
        <v>0</v>
      </c>
      <c r="K11" s="65">
        <v>800</v>
      </c>
      <c r="L11" s="100">
        <v>0.05</v>
      </c>
      <c r="M11" s="65">
        <v>0</v>
      </c>
      <c r="N11" s="65">
        <v>1000</v>
      </c>
      <c r="O11" s="65" t="b">
        <v>0</v>
      </c>
      <c r="P11" s="65"/>
      <c r="Q11" s="65"/>
      <c r="R11" s="65">
        <v>575</v>
      </c>
      <c r="S11" s="65">
        <v>0.05</v>
      </c>
      <c r="T11" s="100">
        <v>0</v>
      </c>
      <c r="U11" s="100">
        <v>0.05</v>
      </c>
      <c r="V11" s="100"/>
      <c r="W11" s="100"/>
      <c r="X11" s="100">
        <v>301.2</v>
      </c>
      <c r="Y11" s="100">
        <v>0.05</v>
      </c>
      <c r="Z11" s="100"/>
      <c r="AA11" s="100">
        <v>-34.598599999999998</v>
      </c>
      <c r="AB11" s="100" t="s">
        <v>21</v>
      </c>
      <c r="AC11" s="100" t="s">
        <v>278</v>
      </c>
      <c r="AD11" s="100"/>
      <c r="AE11" s="100"/>
      <c r="AF11" s="100">
        <f>IF(Nominations[[#This Row],[Shipper]]="","",INDEX(Shippers[ID],MATCH(Nominations[[#This Row],[Shipper]],Shippers[Code],0)))</f>
        <v>18</v>
      </c>
      <c r="AG11" s="100">
        <f>IF(Nominations[[#This Row],[Site]]="","",INDEX(Sites[ID],MATCH(Nominations[[#This Row],[Site]],Sites[Code],0)))</f>
        <v>959</v>
      </c>
      <c r="AH11" s="100">
        <f>IF(Nominations[[#This Row],[Commodity]]="","",INDEX(Commodities[ID],MATCH(Nominations[[#This Row],[Commodity]],Commodities[Code],0)))</f>
        <v>910</v>
      </c>
      <c r="AI11" s="100">
        <f>IF(Nominations[[#This Row],[Transport Method]]="","",INDEX(TransportMethods[ID],MATCH(Nominations[[#This Row],[Transport Method]],TransportMethods[Code],0)))</f>
        <v>4</v>
      </c>
      <c r="AJ11" s="98">
        <v>43</v>
      </c>
      <c r="AK11" s="98">
        <v>394</v>
      </c>
    </row>
  </sheetData>
  <dataConsolidate/>
  <mergeCells count="1">
    <mergeCell ref="B2:G2"/>
  </mergeCells>
  <conditionalFormatting sqref="B5:AK11">
    <cfRule type="expression" dxfId="41" priority="5">
      <formula>$C5 = FALSE</formula>
    </cfRule>
  </conditionalFormatting>
  <conditionalFormatting sqref="C5:C11 I5:J11 T5:AI11 L5:L11">
    <cfRule type="containsText" dxfId="40" priority="6" operator="containsText" text="TRUE">
      <formula>NOT(ISERROR(SEARCH("TRUE",C5)))</formula>
    </cfRule>
    <cfRule type="containsText" dxfId="39" priority="7" operator="containsText" text="FALSE">
      <formula>NOT(ISERROR(SEARCH("FALSE",C5)))</formula>
    </cfRule>
  </conditionalFormatting>
  <dataValidations count="5">
    <dataValidation type="list" allowBlank="1" showInputMessage="1" showErrorMessage="1" sqref="C5:C11 J5:J11 O5:O11" xr:uid="{00000000-0002-0000-0900-000000000000}">
      <formula1>"TRUE, FALSE"</formula1>
    </dataValidation>
    <dataValidation type="list" allowBlank="1" showInputMessage="1" showErrorMessage="1" sqref="F5:F11" xr:uid="{00000000-0002-0000-0900-000001000000}">
      <formula1>INDIRECT("Shippers[Code]")</formula1>
    </dataValidation>
    <dataValidation type="list" allowBlank="1" showInputMessage="1" showErrorMessage="1" sqref="G5:G11" xr:uid="{00000000-0002-0000-0900-000002000000}">
      <formula1>INDIRECT("Sites[Code]")</formula1>
    </dataValidation>
    <dataValidation type="list" allowBlank="1" showInputMessage="1" showErrorMessage="1" sqref="I5:I11" xr:uid="{00000000-0002-0000-0900-000003000000}">
      <formula1>INDIRECT("TransportMethods[Code]")</formula1>
    </dataValidation>
    <dataValidation type="list" allowBlank="1" showInputMessage="1" showErrorMessage="1" sqref="H5:H11" xr:uid="{00000000-0002-0000-0900-000004000000}">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51"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7" tint="-0.499984740745262"/>
    <pageSetUpPr fitToPage="1"/>
  </sheetPr>
  <dimension ref="A1:O11"/>
  <sheetViews>
    <sheetView showGridLines="0" topLeftCell="A2" zoomScaleNormal="100" workbookViewId="0">
      <pane xSplit="1" ySplit="3" topLeftCell="D5" activePane="bottomRight" state="frozen"/>
      <selection activeCell="P16" sqref="P16"/>
      <selection pane="topRight" activeCell="P16" sqref="P16"/>
      <selection pane="bottomLeft" activeCell="P16" sqref="P16"/>
      <selection pane="bottomRight" activeCell="L19" sqref="L19"/>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13" customWidth="1"/>
    <col min="7" max="7" width="15.7109375" customWidth="1"/>
    <col min="8" max="8" width="25.42578125" bestFit="1" customWidth="1"/>
    <col min="9" max="9" width="22.42578125" style="84" bestFit="1" customWidth="1"/>
    <col min="10" max="10" width="25.7109375" style="84" bestFit="1" customWidth="1"/>
    <col min="11" max="11" width="22.7109375" style="84" bestFit="1" customWidth="1"/>
    <col min="12" max="13" width="22.7109375" hidden="1" customWidth="1"/>
    <col min="14" max="14" width="17.28515625" hidden="1" customWidth="1"/>
    <col min="15" max="15" width="7.42578125" hidden="1" customWidth="1"/>
  </cols>
  <sheetData>
    <row r="1" spans="1:15" ht="74.25" hidden="1" customHeight="1">
      <c r="A1" s="16"/>
    </row>
    <row r="2" spans="1:15" s="5" customFormat="1" ht="29.25" customHeight="1" thickBot="1">
      <c r="A2" s="22"/>
      <c r="B2" s="63" t="s">
        <v>94</v>
      </c>
      <c r="C2" s="63"/>
      <c r="D2" s="63"/>
      <c r="E2" s="63"/>
      <c r="F2" s="63"/>
      <c r="G2" s="63"/>
      <c r="I2" s="91"/>
      <c r="J2" s="91"/>
      <c r="K2" s="91"/>
    </row>
    <row r="3" spans="1:15" s="4" customFormat="1" ht="9" customHeight="1" thickTop="1">
      <c r="A3" s="22"/>
      <c r="C3" s="21"/>
      <c r="I3" s="21"/>
      <c r="J3" s="21"/>
      <c r="K3" s="21"/>
    </row>
    <row r="4" spans="1:15" s="13" customFormat="1" ht="15" customHeight="1">
      <c r="A4" s="22"/>
      <c r="B4" s="20" t="s">
        <v>11</v>
      </c>
      <c r="C4" s="19" t="s">
        <v>1</v>
      </c>
      <c r="D4" s="19" t="s">
        <v>0</v>
      </c>
      <c r="E4" s="19" t="s">
        <v>95</v>
      </c>
      <c r="F4" s="19" t="s">
        <v>72</v>
      </c>
      <c r="G4" s="19" t="s">
        <v>96</v>
      </c>
      <c r="H4" s="19" t="s">
        <v>117</v>
      </c>
      <c r="I4" s="19" t="s">
        <v>98</v>
      </c>
      <c r="J4" s="19" t="s">
        <v>118</v>
      </c>
      <c r="K4" s="19" t="s">
        <v>100</v>
      </c>
      <c r="L4" s="19" t="s">
        <v>120</v>
      </c>
      <c r="M4" s="19" t="s">
        <v>208</v>
      </c>
      <c r="N4" s="19" t="s">
        <v>2</v>
      </c>
      <c r="O4" s="19" t="s">
        <v>17</v>
      </c>
    </row>
    <row r="5" spans="1:15">
      <c r="A5" s="23"/>
      <c r="B5" s="26">
        <f>IF(OutflowConstraints[[#This Row],[Active]]=TRUE,1,0)</f>
        <v>1</v>
      </c>
      <c r="C5" s="27" t="b">
        <v>1</v>
      </c>
      <c r="D5" s="30" t="s">
        <v>229</v>
      </c>
      <c r="E5" s="30" t="s">
        <v>199</v>
      </c>
      <c r="F5" t="s">
        <v>263</v>
      </c>
      <c r="G5" s="27" t="s">
        <v>259</v>
      </c>
      <c r="H5" s="27" t="b">
        <v>0</v>
      </c>
      <c r="I5" s="84">
        <v>0</v>
      </c>
      <c r="J5" s="27" t="b">
        <v>1</v>
      </c>
      <c r="K5" s="84">
        <v>120001</v>
      </c>
      <c r="L5">
        <f>IF(OutflowConstraints[[#This Row],[Site]]="","",INDEX(Sites[ID],MATCH(OutflowConstraints[[#This Row],[Site]],Sites[Code],0)))</f>
        <v>964</v>
      </c>
      <c r="M5">
        <f>IF(OutflowConstraints[[#This Row],[Stream]]="","",INDEX(Streams[ID],MATCH(OutflowConstraints[[#This Row],[Stream]],Streams[Code],0)))</f>
        <v>881</v>
      </c>
      <c r="N5" s="32">
        <v>43</v>
      </c>
      <c r="O5" s="32">
        <v>107</v>
      </c>
    </row>
    <row r="6" spans="1:15">
      <c r="B6" s="94">
        <f>IF(OutflowConstraints[[#This Row],[Active]]=TRUE,1,0)</f>
        <v>1</v>
      </c>
      <c r="C6" s="95" t="b">
        <v>1</v>
      </c>
      <c r="D6" s="97" t="s">
        <v>227</v>
      </c>
      <c r="E6" s="97" t="s">
        <v>228</v>
      </c>
      <c r="F6" t="s">
        <v>263</v>
      </c>
      <c r="G6" s="25" t="s">
        <v>259</v>
      </c>
      <c r="H6" s="95" t="b">
        <v>0</v>
      </c>
      <c r="I6" s="84">
        <v>1</v>
      </c>
      <c r="J6" s="95" t="b">
        <v>1</v>
      </c>
      <c r="K6" s="84">
        <v>1.51</v>
      </c>
      <c r="L6" s="6">
        <f>IF(OutflowConstraints[[#This Row],[Site]]="","",INDEX(Sites[ID],MATCH(OutflowConstraints[[#This Row],[Site]],Sites[Code],0)))</f>
        <v>964</v>
      </c>
      <c r="M6" s="6">
        <f>IF(OutflowConstraints[[#This Row],[Stream]]="","",INDEX(Streams[ID],MATCH(OutflowConstraints[[#This Row],[Stream]],Streams[Code],0)))</f>
        <v>881</v>
      </c>
      <c r="N6" s="98">
        <v>43</v>
      </c>
      <c r="O6" s="98">
        <v>108</v>
      </c>
    </row>
    <row r="7" spans="1:15">
      <c r="B7" s="94">
        <f>IF(OutflowConstraints[[#This Row],[Active]]=TRUE,1,0)</f>
        <v>1</v>
      </c>
      <c r="C7" s="95" t="b">
        <v>1</v>
      </c>
      <c r="D7" s="97" t="s">
        <v>226</v>
      </c>
      <c r="E7" s="97" t="s">
        <v>119</v>
      </c>
      <c r="F7" t="s">
        <v>263</v>
      </c>
      <c r="G7" s="25" t="s">
        <v>259</v>
      </c>
      <c r="H7" s="95" t="b">
        <v>1</v>
      </c>
      <c r="I7" s="84">
        <v>0</v>
      </c>
      <c r="J7" s="95" t="b">
        <v>0</v>
      </c>
      <c r="K7" s="84">
        <v>1000001</v>
      </c>
      <c r="L7" s="6">
        <f>IF(OutflowConstraints[[#This Row],[Site]]="","",INDEX(Sites[ID],MATCH(OutflowConstraints[[#This Row],[Site]],Sites[Code],0)))</f>
        <v>964</v>
      </c>
      <c r="M7" s="6">
        <f>IF(OutflowConstraints[[#This Row],[Stream]]="","",INDEX(Streams[ID],MATCH(OutflowConstraints[[#This Row],[Stream]],Streams[Code],0)))</f>
        <v>881</v>
      </c>
      <c r="N7" s="98">
        <v>43</v>
      </c>
      <c r="O7" s="98">
        <v>109</v>
      </c>
    </row>
    <row r="8" spans="1:15" ht="14.25" customHeight="1">
      <c r="B8" s="94">
        <f>IF(OutflowConstraints[[#This Row],[Active]]=TRUE,1,0)</f>
        <v>1</v>
      </c>
      <c r="C8" s="95" t="b">
        <v>1</v>
      </c>
      <c r="D8" s="97" t="s">
        <v>225</v>
      </c>
      <c r="E8" s="97" t="s">
        <v>81</v>
      </c>
      <c r="F8" t="s">
        <v>263</v>
      </c>
      <c r="G8" s="25" t="s">
        <v>259</v>
      </c>
      <c r="H8" s="95" t="b">
        <v>0</v>
      </c>
      <c r="I8" s="84">
        <v>0</v>
      </c>
      <c r="J8" s="95" t="b">
        <v>1</v>
      </c>
      <c r="K8" s="84">
        <v>93</v>
      </c>
      <c r="L8" s="6">
        <f>IF(OutflowConstraints[[#This Row],[Site]]="","",INDEX(Sites[ID],MATCH(OutflowConstraints[[#This Row],[Site]],Sites[Code],0)))</f>
        <v>964</v>
      </c>
      <c r="M8" s="6">
        <f>IF(OutflowConstraints[[#This Row],[Stream]]="","",INDEX(Streams[ID],MATCH(OutflowConstraints[[#This Row],[Stream]],Streams[Code],0)))</f>
        <v>881</v>
      </c>
      <c r="N8" s="98">
        <v>43</v>
      </c>
      <c r="O8" s="98">
        <v>110</v>
      </c>
    </row>
    <row r="9" spans="1:15">
      <c r="B9" s="94">
        <f>IF(OutflowConstraints[[#This Row],[Active]]=TRUE,1,0)</f>
        <v>1</v>
      </c>
      <c r="C9" s="95" t="b">
        <v>1</v>
      </c>
      <c r="D9" s="97" t="s">
        <v>223</v>
      </c>
      <c r="E9" s="97" t="s">
        <v>224</v>
      </c>
      <c r="F9" t="s">
        <v>263</v>
      </c>
      <c r="G9" s="25" t="s">
        <v>259</v>
      </c>
      <c r="H9" s="95" t="b">
        <v>0</v>
      </c>
      <c r="I9" s="84">
        <v>820</v>
      </c>
      <c r="J9" s="95" t="b">
        <v>1</v>
      </c>
      <c r="K9" s="84">
        <v>841</v>
      </c>
      <c r="L9" s="6">
        <f>IF(OutflowConstraints[[#This Row],[Site]]="","",INDEX(Sites[ID],MATCH(OutflowConstraints[[#This Row],[Site]],Sites[Code],0)))</f>
        <v>964</v>
      </c>
      <c r="M9" s="6">
        <f>IF(OutflowConstraints[[#This Row],[Stream]]="","",INDEX(Streams[ID],MATCH(OutflowConstraints[[#This Row],[Stream]],Streams[Code],0)))</f>
        <v>881</v>
      </c>
      <c r="N9" s="98">
        <v>43</v>
      </c>
      <c r="O9" s="98">
        <v>111</v>
      </c>
    </row>
    <row r="10" spans="1:15">
      <c r="B10" s="94">
        <f>IF(OutflowConstraints[[#This Row],[Active]]=TRUE,1,0)</f>
        <v>1</v>
      </c>
      <c r="C10" s="95" t="b">
        <v>1</v>
      </c>
      <c r="D10" s="97" t="s">
        <v>227</v>
      </c>
      <c r="E10" s="97" t="s">
        <v>228</v>
      </c>
      <c r="F10" t="s">
        <v>263</v>
      </c>
      <c r="G10" s="25" t="s">
        <v>301</v>
      </c>
      <c r="H10" s="95" t="b">
        <v>0</v>
      </c>
      <c r="I10" s="84">
        <v>0</v>
      </c>
      <c r="J10" s="95" t="b">
        <v>1</v>
      </c>
      <c r="K10" s="84">
        <v>0.5</v>
      </c>
      <c r="L10" s="6">
        <f>IF(OutflowConstraints[[#This Row],[Site]]="","",INDEX(Sites[ID],MATCH(OutflowConstraints[[#This Row],[Site]],Sites[Code],0)))</f>
        <v>964</v>
      </c>
      <c r="M10" s="6">
        <f>IF(OutflowConstraints[[#This Row],[Stream]]="","",INDEX(Streams[ID],MATCH(OutflowConstraints[[#This Row],[Stream]],Streams[Code],0)))</f>
        <v>910</v>
      </c>
      <c r="N10" s="98">
        <v>43</v>
      </c>
      <c r="O10" s="98">
        <v>113</v>
      </c>
    </row>
    <row r="11" spans="1:15">
      <c r="B11" s="94">
        <f>IF(OutflowConstraints[[#This Row],[Active]]=TRUE,1,0)</f>
        <v>1</v>
      </c>
      <c r="C11" s="95" t="b">
        <v>1</v>
      </c>
      <c r="D11" s="97" t="s">
        <v>223</v>
      </c>
      <c r="E11" s="97" t="s">
        <v>224</v>
      </c>
      <c r="F11" t="s">
        <v>263</v>
      </c>
      <c r="G11" s="25" t="s">
        <v>301</v>
      </c>
      <c r="H11" s="95" t="b">
        <v>0</v>
      </c>
      <c r="I11" s="84">
        <v>0</v>
      </c>
      <c r="J11" s="95" t="b">
        <v>1</v>
      </c>
      <c r="K11" s="84">
        <v>870</v>
      </c>
      <c r="L11" s="6">
        <f>IF(OutflowConstraints[[#This Row],[Site]]="","",INDEX(Sites[ID],MATCH(OutflowConstraints[[#This Row],[Site]],Sites[Code],0)))</f>
        <v>964</v>
      </c>
      <c r="M11" s="6">
        <f>IF(OutflowConstraints[[#This Row],[Stream]]="","",INDEX(Streams[ID],MATCH(OutflowConstraints[[#This Row],[Stream]],Streams[Code],0)))</f>
        <v>910</v>
      </c>
      <c r="N11" s="98">
        <v>43</v>
      </c>
      <c r="O11" s="98">
        <v>114</v>
      </c>
    </row>
  </sheetData>
  <dataConsolidate/>
  <conditionalFormatting sqref="B5:E11 N5:O11 G5:H11 J5:J11">
    <cfRule type="expression" dxfId="38" priority="23">
      <formula>$C5 = FALSE</formula>
    </cfRule>
  </conditionalFormatting>
  <conditionalFormatting sqref="G5:G11 C5:C11">
    <cfRule type="containsText" dxfId="37" priority="24" operator="containsText" text="TRUE">
      <formula>NOT(ISERROR(SEARCH("TRUE",C5)))</formula>
    </cfRule>
    <cfRule type="containsText" dxfId="36" priority="25" operator="containsText" text="FALSE">
      <formula>NOT(ISERROR(SEARCH("FALSE",C5)))</formula>
    </cfRule>
  </conditionalFormatting>
  <conditionalFormatting sqref="H5:H11">
    <cfRule type="containsText" dxfId="35" priority="12" operator="containsText" text="TRUE">
      <formula>NOT(ISERROR(SEARCH("TRUE",H5)))</formula>
    </cfRule>
    <cfRule type="containsText" dxfId="34" priority="13" operator="containsText" text="FALSE">
      <formula>NOT(ISERROR(SEARCH("FALSE",H5)))</formula>
    </cfRule>
  </conditionalFormatting>
  <conditionalFormatting sqref="J5:J11">
    <cfRule type="containsText" dxfId="33" priority="9" operator="containsText" text="TRUE">
      <formula>NOT(ISERROR(SEARCH("TRUE",J5)))</formula>
    </cfRule>
    <cfRule type="containsText" dxfId="32" priority="10" operator="containsText" text="FALSE">
      <formula>NOT(ISERROR(SEARCH("FALSE",J5)))</formula>
    </cfRule>
  </conditionalFormatting>
  <dataValidations count="4">
    <dataValidation type="list" allowBlank="1" showInputMessage="1" showErrorMessage="1" sqref="C5:C11 J5:J11 H5:H11" xr:uid="{00000000-0002-0000-0A00-000000000000}">
      <formula1>"TRUE, FALSE"</formula1>
    </dataValidation>
    <dataValidation type="list" allowBlank="1" showInputMessage="1" showErrorMessage="1" sqref="E5:E11" xr:uid="{00000000-0002-0000-0A00-000001000000}">
      <formula1>"DENSITY, FLOW, REVENUE, SULFUR, TVP"</formula1>
    </dataValidation>
    <dataValidation type="list" allowBlank="1" showInputMessage="1" showErrorMessage="1" sqref="F5:F11" xr:uid="{00000000-0002-0000-0A00-000002000000}">
      <formula1>INDIRECT("Sites[Code]")</formula1>
    </dataValidation>
    <dataValidation type="list" allowBlank="1" showInputMessage="1" showErrorMessage="1" sqref="G5:G11" xr:uid="{00000000-0002-0000-0A00-000003000000}">
      <formula1>INDIRECT("Streams[Code]")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60"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7" tint="-0.499984740745262"/>
    <pageSetUpPr fitToPage="1"/>
  </sheetPr>
  <dimension ref="A1:AG17"/>
  <sheetViews>
    <sheetView showGridLines="0" topLeftCell="A2" zoomScaleNormal="100" workbookViewId="0">
      <pane xSplit="1" ySplit="3" topLeftCell="Q5" activePane="bottomRight" state="frozen"/>
      <selection activeCell="P16" sqref="P16"/>
      <selection pane="topRight" activeCell="P16" sqref="P16"/>
      <selection pane="bottomLeft" activeCell="P16" sqref="P16"/>
      <selection pane="bottomRight" activeCell="T22" sqref="T22"/>
    </sheetView>
  </sheetViews>
  <sheetFormatPr defaultRowHeight="1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3.28515625" style="44" customWidth="1"/>
    <col min="9" max="9" width="15.7109375" style="44" customWidth="1"/>
    <col min="10" max="10" width="20.42578125" style="44" customWidth="1"/>
    <col min="11" max="11" width="17.140625" style="44" customWidth="1"/>
    <col min="12" max="12" width="21.140625" style="44" customWidth="1"/>
    <col min="13" max="13" width="12.7109375" style="44" customWidth="1"/>
    <col min="14" max="14" width="18.28515625" style="44" customWidth="1"/>
    <col min="15" max="15" width="18.42578125" style="89" customWidth="1"/>
    <col min="16" max="16" width="16.5703125" style="89" customWidth="1"/>
    <col min="17" max="17" width="21.85546875" style="89" customWidth="1"/>
    <col min="18" max="18" width="18.7109375" style="89" customWidth="1"/>
    <col min="19" max="19" width="14" style="89" customWidth="1"/>
    <col min="20" max="20" width="27.5703125" style="44" customWidth="1"/>
    <col min="21" max="21" width="17.85546875" style="44" hidden="1" customWidth="1"/>
    <col min="22" max="22" width="19.42578125" style="44" hidden="1" customWidth="1"/>
    <col min="23" max="23" width="20.28515625" style="44" hidden="1" customWidth="1"/>
    <col min="24" max="24" width="19" style="44" hidden="1" customWidth="1"/>
    <col min="25" max="25" width="22.5703125" style="44" hidden="1" customWidth="1"/>
    <col min="26" max="26" width="16.42578125" style="44" hidden="1" customWidth="1"/>
    <col min="27" max="27" width="20" style="44" hidden="1" customWidth="1"/>
    <col min="28" max="28" width="15.85546875" style="44" hidden="1" customWidth="1"/>
    <col min="29" max="29" width="7.42578125" style="44" hidden="1"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c r="A1" s="43"/>
      <c r="AG1" s="44">
        <v>52</v>
      </c>
    </row>
    <row r="2" spans="1:33" s="48" customFormat="1" ht="29.25" customHeight="1" thickBot="1">
      <c r="A2" s="46"/>
      <c r="B2" s="107" t="s">
        <v>67</v>
      </c>
      <c r="C2" s="107"/>
      <c r="D2" s="107"/>
      <c r="E2" s="107"/>
      <c r="F2" s="107"/>
      <c r="G2" s="107"/>
      <c r="H2" s="107"/>
      <c r="I2" s="47"/>
      <c r="J2" s="47"/>
      <c r="O2" s="90"/>
      <c r="P2" s="90"/>
      <c r="Q2" s="90"/>
      <c r="R2" s="90"/>
      <c r="S2" s="90"/>
    </row>
    <row r="3" spans="1:33" s="49" customFormat="1" ht="9" customHeight="1" thickTop="1">
      <c r="A3" s="46"/>
      <c r="C3" s="50"/>
      <c r="O3" s="50"/>
      <c r="P3" s="50"/>
      <c r="Q3" s="50"/>
      <c r="R3" s="50"/>
      <c r="S3" s="50"/>
    </row>
    <row r="4" spans="1:33" s="53" customFormat="1" ht="15" customHeight="1">
      <c r="A4" s="46"/>
      <c r="B4" s="51" t="s">
        <v>11</v>
      </c>
      <c r="C4" s="52" t="s">
        <v>1</v>
      </c>
      <c r="D4" s="52" t="s">
        <v>0</v>
      </c>
      <c r="E4" s="52" t="s">
        <v>58</v>
      </c>
      <c r="F4" s="52" t="s">
        <v>7</v>
      </c>
      <c r="G4" s="52" t="s">
        <v>19</v>
      </c>
      <c r="H4" s="52" t="s">
        <v>59</v>
      </c>
      <c r="I4" s="68" t="s">
        <v>73</v>
      </c>
      <c r="J4" s="52" t="s">
        <v>60</v>
      </c>
      <c r="K4" s="68" t="s">
        <v>45</v>
      </c>
      <c r="L4" s="52" t="s">
        <v>61</v>
      </c>
      <c r="M4" s="68" t="s">
        <v>74</v>
      </c>
      <c r="N4" s="52" t="s">
        <v>62</v>
      </c>
      <c r="O4" s="52" t="s">
        <v>93</v>
      </c>
      <c r="P4" s="52" t="s">
        <v>63</v>
      </c>
      <c r="Q4" s="52" t="s">
        <v>64</v>
      </c>
      <c r="R4" s="52" t="s">
        <v>65</v>
      </c>
      <c r="S4" s="68" t="s">
        <v>66</v>
      </c>
      <c r="T4" s="68" t="s">
        <v>4</v>
      </c>
      <c r="U4" s="68" t="s">
        <v>203</v>
      </c>
      <c r="V4" s="68" t="s">
        <v>201</v>
      </c>
      <c r="W4" s="68" t="s">
        <v>123</v>
      </c>
      <c r="X4" s="68" t="s">
        <v>204</v>
      </c>
      <c r="Y4" s="68" t="s">
        <v>205</v>
      </c>
      <c r="Z4" s="68" t="s">
        <v>206</v>
      </c>
      <c r="AA4" s="68" t="s">
        <v>207</v>
      </c>
      <c r="AB4" s="52" t="s">
        <v>2</v>
      </c>
      <c r="AC4" s="52" t="s">
        <v>17</v>
      </c>
    </row>
    <row r="5" spans="1:33">
      <c r="A5" s="54"/>
      <c r="B5" s="55">
        <f>IF(Tariff[[#This Row],[Active]]=TRUE,1,0)</f>
        <v>1</v>
      </c>
      <c r="C5" s="56" t="b">
        <v>1</v>
      </c>
      <c r="D5" s="57" t="s">
        <v>316</v>
      </c>
      <c r="E5" s="58" t="s">
        <v>68</v>
      </c>
      <c r="F5" s="58">
        <v>10.65</v>
      </c>
      <c r="G5" s="59" t="s">
        <v>21</v>
      </c>
      <c r="H5" s="56" t="b">
        <v>1</v>
      </c>
      <c r="I5" s="60" t="s">
        <v>69</v>
      </c>
      <c r="J5" s="56" t="b">
        <v>0</v>
      </c>
      <c r="K5" s="56"/>
      <c r="L5" s="56" t="b">
        <v>1</v>
      </c>
      <c r="M5" s="56" t="s">
        <v>92</v>
      </c>
      <c r="N5" s="56" t="b">
        <v>0</v>
      </c>
      <c r="O5" s="55"/>
      <c r="P5" s="55" t="b">
        <v>0</v>
      </c>
      <c r="Q5" s="55"/>
      <c r="R5" s="55" t="s">
        <v>261</v>
      </c>
      <c r="S5" s="55" t="s">
        <v>263</v>
      </c>
      <c r="T5" s="61" t="s">
        <v>273</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43</v>
      </c>
      <c r="AC5" s="61">
        <v>194</v>
      </c>
    </row>
    <row r="6" spans="1:33">
      <c r="B6" s="94">
        <f>IF(Tariff[[#This Row],[Active]]=TRUE,1,0)</f>
        <v>1</v>
      </c>
      <c r="C6" s="95" t="b">
        <v>1</v>
      </c>
      <c r="D6" s="96" t="s">
        <v>317</v>
      </c>
      <c r="E6" s="97" t="s">
        <v>210</v>
      </c>
      <c r="F6" s="97">
        <v>-3.794</v>
      </c>
      <c r="G6" s="103" t="s">
        <v>21</v>
      </c>
      <c r="H6" s="99" t="b">
        <v>0</v>
      </c>
      <c r="I6" s="94"/>
      <c r="J6" s="99" t="b">
        <v>0</v>
      </c>
      <c r="K6" s="99"/>
      <c r="L6" s="99" t="b">
        <v>0</v>
      </c>
      <c r="M6" s="99" t="s">
        <v>90</v>
      </c>
      <c r="N6" s="95" t="b">
        <v>0</v>
      </c>
      <c r="O6" s="94"/>
      <c r="P6" s="94" t="b">
        <v>0</v>
      </c>
      <c r="Q6" s="94"/>
      <c r="R6" s="94" t="s">
        <v>261</v>
      </c>
      <c r="S6" s="94" t="s">
        <v>263</v>
      </c>
      <c r="T6" s="98" t="s">
        <v>211</v>
      </c>
      <c r="U6" s="98" t="str">
        <f>IF(Tariff[[#This Row],[Commodity]]="","",INDEX(Commodities[ID],MATCH(Tariff[[#This Row],[Commodity]],Commodities[Code],0)))</f>
        <v/>
      </c>
      <c r="V6" s="98" t="str">
        <f>IF(Tariff[[#This Row],[Material Type]]="","",INDEX(MaterialTypes[ID],MATCH(Tariff[[#This Row],[Material Type]],MaterialTypes[Code],0)))</f>
        <v/>
      </c>
      <c r="W6" s="98">
        <f>IF(Tariff[[#This Row],[Transport Method]]="","",INDEX(TransportMethods[ID],MATCH(Tariff[[#This Row],[Transport Method]],TransportMethods[Code],0)))</f>
        <v>2</v>
      </c>
      <c r="X6" s="98" t="str">
        <f>IF(Tariff[[#This Row],[From Shipper]]="","",INDEX(Shippers[ID],MATCH(Tariff[[#This Row],[From Shipper]],Shippers[Code],0)))</f>
        <v/>
      </c>
      <c r="Y6" s="98" t="str">
        <f>IF(Tariff[[#This Row],[From Shipper Site]]="","",INDEX(Sites[ID],MATCH(Tariff[[#This Row],[From Shipper Site]],Sites[Code],0)))</f>
        <v/>
      </c>
      <c r="Z6" s="98">
        <f>IF(Tariff[[#This Row],[To Shipper]]="","",INDEX(Shippers[ID],MATCH(Tariff[[#This Row],[To Shipper]],Shippers[Code],0)))</f>
        <v>22</v>
      </c>
      <c r="AA6" s="98">
        <f>IF(Tariff[[#This Row],[To Shipper Site]]="","",INDEX(Sites[ID],MATCH(Tariff[[#This Row],[To Shipper Site]],Sites[Code],0)))</f>
        <v>964</v>
      </c>
      <c r="AB6" s="98">
        <v>43</v>
      </c>
      <c r="AC6" s="98">
        <v>195</v>
      </c>
    </row>
    <row r="7" spans="1:33">
      <c r="B7" s="94">
        <f>IF(Tariff[[#This Row],[Active]]=TRUE,1,0)</f>
        <v>1</v>
      </c>
      <c r="C7" s="95" t="b">
        <v>1</v>
      </c>
      <c r="D7" s="96" t="s">
        <v>318</v>
      </c>
      <c r="E7" s="97" t="s">
        <v>210</v>
      </c>
      <c r="F7" s="97">
        <v>-2.25</v>
      </c>
      <c r="G7" s="103" t="s">
        <v>21</v>
      </c>
      <c r="H7" s="99" t="b">
        <v>0</v>
      </c>
      <c r="I7" s="94"/>
      <c r="J7" s="99" t="b">
        <v>0</v>
      </c>
      <c r="K7" s="99"/>
      <c r="L7" s="99" t="b">
        <v>0</v>
      </c>
      <c r="M7" s="99" t="s">
        <v>90</v>
      </c>
      <c r="N7" s="95" t="b">
        <v>0</v>
      </c>
      <c r="O7" s="94"/>
      <c r="P7" s="94" t="b">
        <v>0</v>
      </c>
      <c r="Q7" s="94"/>
      <c r="R7" s="94" t="s">
        <v>261</v>
      </c>
      <c r="S7" s="94" t="s">
        <v>263</v>
      </c>
      <c r="T7" s="98" t="s">
        <v>212</v>
      </c>
      <c r="U7" s="98" t="str">
        <f>IF(Tariff[[#This Row],[Commodity]]="","",INDEX(Commodities[ID],MATCH(Tariff[[#This Row],[Commodity]],Commodities[Code],0)))</f>
        <v/>
      </c>
      <c r="V7" s="98" t="str">
        <f>IF(Tariff[[#This Row],[Material Type]]="","",INDEX(MaterialTypes[ID],MATCH(Tariff[[#This Row],[Material Type]],MaterialTypes[Code],0)))</f>
        <v/>
      </c>
      <c r="W7" s="98">
        <f>IF(Tariff[[#This Row],[Transport Method]]="","",INDEX(TransportMethods[ID],MATCH(Tariff[[#This Row],[Transport Method]],TransportMethods[Code],0)))</f>
        <v>2</v>
      </c>
      <c r="X7" s="98" t="str">
        <f>IF(Tariff[[#This Row],[From Shipper]]="","",INDEX(Shippers[ID],MATCH(Tariff[[#This Row],[From Shipper]],Shippers[Code],0)))</f>
        <v/>
      </c>
      <c r="Y7" s="98" t="str">
        <f>IF(Tariff[[#This Row],[From Shipper Site]]="","",INDEX(Sites[ID],MATCH(Tariff[[#This Row],[From Shipper Site]],Sites[Code],0)))</f>
        <v/>
      </c>
      <c r="Z7" s="98">
        <f>IF(Tariff[[#This Row],[To Shipper]]="","",INDEX(Shippers[ID],MATCH(Tariff[[#This Row],[To Shipper]],Shippers[Code],0)))</f>
        <v>22</v>
      </c>
      <c r="AA7" s="98">
        <f>IF(Tariff[[#This Row],[To Shipper Site]]="","",INDEX(Sites[ID],MATCH(Tariff[[#This Row],[To Shipper Site]],Sites[Code],0)))</f>
        <v>964</v>
      </c>
      <c r="AB7" s="98">
        <v>43</v>
      </c>
      <c r="AC7" s="98">
        <v>196</v>
      </c>
    </row>
    <row r="8" spans="1:33">
      <c r="B8" s="94">
        <f>IF(Tariff[[#This Row],[Active]]=TRUE,1,0)</f>
        <v>1</v>
      </c>
      <c r="C8" s="95" t="b">
        <v>1</v>
      </c>
      <c r="D8" s="96" t="s">
        <v>319</v>
      </c>
      <c r="E8" s="97" t="s">
        <v>213</v>
      </c>
      <c r="F8" s="97">
        <v>-5.0000000000000001E-3</v>
      </c>
      <c r="G8" s="103"/>
      <c r="H8" s="99" t="b">
        <v>0</v>
      </c>
      <c r="I8" s="94"/>
      <c r="J8" s="99" t="b">
        <v>0</v>
      </c>
      <c r="K8" s="99"/>
      <c r="L8" s="99" t="b">
        <v>0</v>
      </c>
      <c r="M8" s="99" t="s">
        <v>90</v>
      </c>
      <c r="N8" s="95" t="b">
        <v>0</v>
      </c>
      <c r="O8" s="94"/>
      <c r="P8" s="94" t="b">
        <v>0</v>
      </c>
      <c r="Q8" s="94"/>
      <c r="R8" s="94" t="s">
        <v>261</v>
      </c>
      <c r="S8" s="94" t="s">
        <v>263</v>
      </c>
      <c r="T8" s="98" t="s">
        <v>214</v>
      </c>
      <c r="U8" s="98" t="str">
        <f>IF(Tariff[[#This Row],[Commodity]]="","",INDEX(Commodities[ID],MATCH(Tariff[[#This Row],[Commodity]],Commodities[Code],0)))</f>
        <v/>
      </c>
      <c r="V8" s="98" t="str">
        <f>IF(Tariff[[#This Row],[Material Type]]="","",INDEX(MaterialTypes[ID],MATCH(Tariff[[#This Row],[Material Type]],MaterialTypes[Code],0)))</f>
        <v/>
      </c>
      <c r="W8" s="98">
        <f>IF(Tariff[[#This Row],[Transport Method]]="","",INDEX(TransportMethods[ID],MATCH(Tariff[[#This Row],[Transport Method]],TransportMethods[Code],0)))</f>
        <v>2</v>
      </c>
      <c r="X8" s="98" t="str">
        <f>IF(Tariff[[#This Row],[From Shipper]]="","",INDEX(Shippers[ID],MATCH(Tariff[[#This Row],[From Shipper]],Shippers[Code],0)))</f>
        <v/>
      </c>
      <c r="Y8" s="98" t="str">
        <f>IF(Tariff[[#This Row],[From Shipper Site]]="","",INDEX(Sites[ID],MATCH(Tariff[[#This Row],[From Shipper Site]],Sites[Code],0)))</f>
        <v/>
      </c>
      <c r="Z8" s="98">
        <f>IF(Tariff[[#This Row],[To Shipper]]="","",INDEX(Shippers[ID],MATCH(Tariff[[#This Row],[To Shipper]],Shippers[Code],0)))</f>
        <v>22</v>
      </c>
      <c r="AA8" s="98">
        <f>IF(Tariff[[#This Row],[To Shipper Site]]="","",INDEX(Sites[ID],MATCH(Tariff[[#This Row],[To Shipper Site]],Sites[Code],0)))</f>
        <v>964</v>
      </c>
      <c r="AB8" s="98">
        <v>43</v>
      </c>
      <c r="AC8" s="98">
        <v>197</v>
      </c>
    </row>
    <row r="9" spans="1:33">
      <c r="B9" s="94">
        <f>IF(Tariff[[#This Row],[Active]]=TRUE,1,0)</f>
        <v>0</v>
      </c>
      <c r="C9" s="95" t="b">
        <v>0</v>
      </c>
      <c r="D9" s="96" t="s">
        <v>320</v>
      </c>
      <c r="E9" s="97" t="s">
        <v>213</v>
      </c>
      <c r="F9" s="97">
        <v>-2.5000000000000001E-3</v>
      </c>
      <c r="G9" s="103" t="s">
        <v>21</v>
      </c>
      <c r="H9" s="99" t="b">
        <v>0</v>
      </c>
      <c r="I9" s="94"/>
      <c r="J9" s="99" t="b">
        <v>0</v>
      </c>
      <c r="K9" s="99"/>
      <c r="L9" s="99" t="b">
        <v>0</v>
      </c>
      <c r="M9" s="99" t="s">
        <v>92</v>
      </c>
      <c r="N9" s="95" t="b">
        <v>0</v>
      </c>
      <c r="O9" s="94"/>
      <c r="P9" s="94" t="b">
        <v>0</v>
      </c>
      <c r="Q9" s="94"/>
      <c r="R9" s="94" t="s">
        <v>261</v>
      </c>
      <c r="S9" s="94" t="s">
        <v>263</v>
      </c>
      <c r="T9" s="98" t="s">
        <v>214</v>
      </c>
      <c r="U9" s="98" t="str">
        <f>IF(Tariff[[#This Row],[Commodity]]="","",INDEX(Commodities[ID],MATCH(Tariff[[#This Row],[Commodity]],Commodities[Code],0)))</f>
        <v/>
      </c>
      <c r="V9" s="98" t="str">
        <f>IF(Tariff[[#This Row],[Material Type]]="","",INDEX(MaterialTypes[ID],MATCH(Tariff[[#This Row],[Material Type]],MaterialTypes[Code],0)))</f>
        <v/>
      </c>
      <c r="W9" s="98">
        <f>IF(Tariff[[#This Row],[Transport Method]]="","",INDEX(TransportMethods[ID],MATCH(Tariff[[#This Row],[Transport Method]],TransportMethods[Code],0)))</f>
        <v>4</v>
      </c>
      <c r="X9" s="98" t="str">
        <f>IF(Tariff[[#This Row],[From Shipper]]="","",INDEX(Shippers[ID],MATCH(Tariff[[#This Row],[From Shipper]],Shippers[Code],0)))</f>
        <v/>
      </c>
      <c r="Y9" s="98" t="str">
        <f>IF(Tariff[[#This Row],[From Shipper Site]]="","",INDEX(Sites[ID],MATCH(Tariff[[#This Row],[From Shipper Site]],Sites[Code],0)))</f>
        <v/>
      </c>
      <c r="Z9" s="98">
        <f>IF(Tariff[[#This Row],[To Shipper]]="","",INDEX(Shippers[ID],MATCH(Tariff[[#This Row],[To Shipper]],Shippers[Code],0)))</f>
        <v>22</v>
      </c>
      <c r="AA9" s="98">
        <f>IF(Tariff[[#This Row],[To Shipper Site]]="","",INDEX(Sites[ID],MATCH(Tariff[[#This Row],[To Shipper Site]],Sites[Code],0)))</f>
        <v>964</v>
      </c>
      <c r="AB9" s="98">
        <v>43</v>
      </c>
      <c r="AC9" s="98">
        <v>198</v>
      </c>
    </row>
    <row r="10" spans="1:33">
      <c r="B10" s="94">
        <f>IF(Tariff[[#This Row],[Active]]=TRUE,1,0)</f>
        <v>1</v>
      </c>
      <c r="C10" s="95" t="b">
        <v>1</v>
      </c>
      <c r="D10" s="96" t="s">
        <v>321</v>
      </c>
      <c r="E10" s="97" t="s">
        <v>68</v>
      </c>
      <c r="F10" s="97">
        <v>47.1</v>
      </c>
      <c r="G10" s="103" t="s">
        <v>21</v>
      </c>
      <c r="H10" s="99" t="b">
        <v>0</v>
      </c>
      <c r="I10" s="94" t="s">
        <v>69</v>
      </c>
      <c r="J10" s="99" t="b">
        <v>0</v>
      </c>
      <c r="K10" s="99"/>
      <c r="L10" s="99" t="b">
        <v>1</v>
      </c>
      <c r="M10" s="99" t="s">
        <v>92</v>
      </c>
      <c r="N10" s="95" t="b">
        <v>0</v>
      </c>
      <c r="O10" s="94"/>
      <c r="P10" s="94" t="b">
        <v>0</v>
      </c>
      <c r="Q10" s="94"/>
      <c r="R10" s="94" t="s">
        <v>261</v>
      </c>
      <c r="S10" s="94" t="s">
        <v>263</v>
      </c>
      <c r="T10" s="98" t="s">
        <v>274</v>
      </c>
      <c r="U10" s="98">
        <f>IF(Tariff[[#This Row],[Commodity]]="","",INDEX(Commodities[ID],MATCH(Tariff[[#This Row],[Commodity]],Commodities[Code],0)))</f>
        <v>913</v>
      </c>
      <c r="V10" s="98" t="str">
        <f>IF(Tariff[[#This Row],[Material Type]]="","",INDEX(MaterialTypes[ID],MATCH(Tariff[[#This Row],[Material Type]],MaterialTypes[Code],0)))</f>
        <v/>
      </c>
      <c r="W10" s="98">
        <f>IF(Tariff[[#This Row],[Transport Method]]="","",INDEX(TransportMethods[ID],MATCH(Tariff[[#This Row],[Transport Method]],TransportMethods[Code],0)))</f>
        <v>4</v>
      </c>
      <c r="X10" s="98" t="str">
        <f>IF(Tariff[[#This Row],[From Shipper]]="","",INDEX(Shippers[ID],MATCH(Tariff[[#This Row],[From Shipper]],Shippers[Code],0)))</f>
        <v/>
      </c>
      <c r="Y10" s="98" t="str">
        <f>IF(Tariff[[#This Row],[From Shipper Site]]="","",INDEX(Sites[ID],MATCH(Tariff[[#This Row],[From Shipper Site]],Sites[Code],0)))</f>
        <v/>
      </c>
      <c r="Z10" s="98">
        <f>IF(Tariff[[#This Row],[To Shipper]]="","",INDEX(Shippers[ID],MATCH(Tariff[[#This Row],[To Shipper]],Shippers[Code],0)))</f>
        <v>22</v>
      </c>
      <c r="AA10" s="98">
        <f>IF(Tariff[[#This Row],[To Shipper Site]]="","",INDEX(Sites[ID],MATCH(Tariff[[#This Row],[To Shipper Site]],Sites[Code],0)))</f>
        <v>964</v>
      </c>
      <c r="AB10" s="98">
        <v>43</v>
      </c>
      <c r="AC10" s="98">
        <v>199</v>
      </c>
    </row>
    <row r="11" spans="1:33">
      <c r="B11" s="94">
        <f>IF(Tariff[[#This Row],[Active]]=TRUE,1,0)</f>
        <v>1</v>
      </c>
      <c r="C11" s="95" t="b">
        <v>1</v>
      </c>
      <c r="D11" s="96" t="s">
        <v>322</v>
      </c>
      <c r="E11" s="97" t="s">
        <v>68</v>
      </c>
      <c r="F11" s="97">
        <v>-12.27</v>
      </c>
      <c r="G11" s="103" t="s">
        <v>21</v>
      </c>
      <c r="H11" s="99" t="b">
        <v>0</v>
      </c>
      <c r="I11" s="94"/>
      <c r="J11" s="99" t="b">
        <v>0</v>
      </c>
      <c r="K11" s="99"/>
      <c r="L11" s="99" t="b">
        <v>0</v>
      </c>
      <c r="M11" s="99" t="s">
        <v>91</v>
      </c>
      <c r="N11" s="95" t="b">
        <v>0</v>
      </c>
      <c r="O11" s="94"/>
      <c r="P11" s="94" t="b">
        <v>0</v>
      </c>
      <c r="Q11" s="94"/>
      <c r="R11" s="94" t="s">
        <v>261</v>
      </c>
      <c r="S11" s="94" t="s">
        <v>263</v>
      </c>
      <c r="T11" s="98" t="s">
        <v>275</v>
      </c>
      <c r="U11" s="98" t="str">
        <f>IF(Tariff[[#This Row],[Commodity]]="","",INDEX(Commodities[ID],MATCH(Tariff[[#This Row],[Commodity]],Commodities[Code],0)))</f>
        <v/>
      </c>
      <c r="V11" s="98" t="str">
        <f>IF(Tariff[[#This Row],[Material Type]]="","",INDEX(MaterialTypes[ID],MATCH(Tariff[[#This Row],[Material Type]],MaterialTypes[Code],0)))</f>
        <v/>
      </c>
      <c r="W11" s="98">
        <f>IF(Tariff[[#This Row],[Transport Method]]="","",INDEX(TransportMethods[ID],MATCH(Tariff[[#This Row],[Transport Method]],TransportMethods[Code],0)))</f>
        <v>3</v>
      </c>
      <c r="X11" s="98" t="str">
        <f>IF(Tariff[[#This Row],[From Shipper]]="","",INDEX(Shippers[ID],MATCH(Tariff[[#This Row],[From Shipper]],Shippers[Code],0)))</f>
        <v/>
      </c>
      <c r="Y11" s="98" t="str">
        <f>IF(Tariff[[#This Row],[From Shipper Site]]="","",INDEX(Sites[ID],MATCH(Tariff[[#This Row],[From Shipper Site]],Sites[Code],0)))</f>
        <v/>
      </c>
      <c r="Z11" s="98">
        <f>IF(Tariff[[#This Row],[To Shipper]]="","",INDEX(Shippers[ID],MATCH(Tariff[[#This Row],[To Shipper]],Shippers[Code],0)))</f>
        <v>22</v>
      </c>
      <c r="AA11" s="98">
        <f>IF(Tariff[[#This Row],[To Shipper Site]]="","",INDEX(Sites[ID],MATCH(Tariff[[#This Row],[To Shipper Site]],Sites[Code],0)))</f>
        <v>964</v>
      </c>
      <c r="AB11" s="98">
        <v>43</v>
      </c>
      <c r="AC11" s="98">
        <v>200</v>
      </c>
    </row>
    <row r="12" spans="1:33">
      <c r="B12" s="94">
        <f>IF(Tariff[[#This Row],[Active]]=TRUE,1,0)</f>
        <v>1</v>
      </c>
      <c r="C12" s="95" t="b">
        <v>1</v>
      </c>
      <c r="D12" s="96" t="s">
        <v>323</v>
      </c>
      <c r="E12" s="97" t="s">
        <v>215</v>
      </c>
      <c r="F12" s="97">
        <v>-3.794</v>
      </c>
      <c r="G12" s="103" t="s">
        <v>21</v>
      </c>
      <c r="H12" s="99" t="b">
        <v>0</v>
      </c>
      <c r="I12" s="94" t="s">
        <v>69</v>
      </c>
      <c r="J12" s="99" t="b">
        <v>0</v>
      </c>
      <c r="K12" s="99"/>
      <c r="L12" s="99" t="b">
        <v>0</v>
      </c>
      <c r="M12" s="99" t="s">
        <v>91</v>
      </c>
      <c r="N12" s="95" t="b">
        <v>0</v>
      </c>
      <c r="O12" s="94"/>
      <c r="P12" s="94" t="b">
        <v>0</v>
      </c>
      <c r="Q12" s="94"/>
      <c r="R12" s="94" t="s">
        <v>261</v>
      </c>
      <c r="S12" s="94" t="s">
        <v>263</v>
      </c>
      <c r="T12" s="98" t="s">
        <v>216</v>
      </c>
      <c r="U12" s="98">
        <f>IF(Tariff[[#This Row],[Commodity]]="","",INDEX(Commodities[ID],MATCH(Tariff[[#This Row],[Commodity]],Commodities[Code],0)))</f>
        <v>913</v>
      </c>
      <c r="V12" s="98" t="str">
        <f>IF(Tariff[[#This Row],[Material Type]]="","",INDEX(MaterialTypes[ID],MATCH(Tariff[[#This Row],[Material Type]],MaterialTypes[Code],0)))</f>
        <v/>
      </c>
      <c r="W12" s="98">
        <f>IF(Tariff[[#This Row],[Transport Method]]="","",INDEX(TransportMethods[ID],MATCH(Tariff[[#This Row],[Transport Method]],TransportMethods[Code],0)))</f>
        <v>3</v>
      </c>
      <c r="X12" s="98" t="str">
        <f>IF(Tariff[[#This Row],[From Shipper]]="","",INDEX(Shippers[ID],MATCH(Tariff[[#This Row],[From Shipper]],Shippers[Code],0)))</f>
        <v/>
      </c>
      <c r="Y12" s="98" t="str">
        <f>IF(Tariff[[#This Row],[From Shipper Site]]="","",INDEX(Sites[ID],MATCH(Tariff[[#This Row],[From Shipper Site]],Sites[Code],0)))</f>
        <v/>
      </c>
      <c r="Z12" s="98">
        <f>IF(Tariff[[#This Row],[To Shipper]]="","",INDEX(Shippers[ID],MATCH(Tariff[[#This Row],[To Shipper]],Shippers[Code],0)))</f>
        <v>22</v>
      </c>
      <c r="AA12" s="98">
        <f>IF(Tariff[[#This Row],[To Shipper Site]]="","",INDEX(Sites[ID],MATCH(Tariff[[#This Row],[To Shipper Site]],Sites[Code],0)))</f>
        <v>964</v>
      </c>
      <c r="AB12" s="98">
        <v>43</v>
      </c>
      <c r="AC12" s="98">
        <v>201</v>
      </c>
    </row>
    <row r="13" spans="1:33">
      <c r="B13" s="94">
        <f>IF(Tariff[[#This Row],[Active]]=TRUE,1,0)</f>
        <v>1</v>
      </c>
      <c r="C13" s="95" t="b">
        <v>1</v>
      </c>
      <c r="D13" s="96" t="s">
        <v>324</v>
      </c>
      <c r="E13" s="97" t="s">
        <v>217</v>
      </c>
      <c r="F13" s="97">
        <v>1.27</v>
      </c>
      <c r="G13" s="103" t="s">
        <v>21</v>
      </c>
      <c r="H13" s="99" t="b">
        <v>0</v>
      </c>
      <c r="I13" s="94"/>
      <c r="J13" s="99" t="b">
        <v>0</v>
      </c>
      <c r="K13" s="99"/>
      <c r="L13" s="99" t="b">
        <v>0</v>
      </c>
      <c r="M13" s="99" t="s">
        <v>91</v>
      </c>
      <c r="N13" s="95" t="b">
        <v>0</v>
      </c>
      <c r="O13" s="94" t="s">
        <v>294</v>
      </c>
      <c r="P13" s="94" t="b">
        <v>0</v>
      </c>
      <c r="Q13" s="94"/>
      <c r="R13" s="94" t="s">
        <v>261</v>
      </c>
      <c r="S13" s="94" t="s">
        <v>263</v>
      </c>
      <c r="T13" s="98" t="s">
        <v>218</v>
      </c>
      <c r="U13" s="98" t="str">
        <f>IF(Tariff[[#This Row],[Commodity]]="","",INDEX(Commodities[ID],MATCH(Tariff[[#This Row],[Commodity]],Commodities[Code],0)))</f>
        <v/>
      </c>
      <c r="V13" s="98" t="str">
        <f>IF(Tariff[[#This Row],[Material Type]]="","",INDEX(MaterialTypes[ID],MATCH(Tariff[[#This Row],[Material Type]],MaterialTypes[Code],0)))</f>
        <v/>
      </c>
      <c r="W13" s="98">
        <f>IF(Tariff[[#This Row],[Transport Method]]="","",INDEX(TransportMethods[ID],MATCH(Tariff[[#This Row],[Transport Method]],TransportMethods[Code],0)))</f>
        <v>3</v>
      </c>
      <c r="X13" s="98">
        <f>IF(Tariff[[#This Row],[From Shipper]]="","",INDEX(Shippers[ID],MATCH(Tariff[[#This Row],[From Shipper]],Shippers[Code],0)))</f>
        <v>12</v>
      </c>
      <c r="Y13" s="98" t="str">
        <f>IF(Tariff[[#This Row],[From Shipper Site]]="","",INDEX(Sites[ID],MATCH(Tariff[[#This Row],[From Shipper Site]],Sites[Code],0)))</f>
        <v/>
      </c>
      <c r="Z13" s="98">
        <f>IF(Tariff[[#This Row],[To Shipper]]="","",INDEX(Shippers[ID],MATCH(Tariff[[#This Row],[To Shipper]],Shippers[Code],0)))</f>
        <v>22</v>
      </c>
      <c r="AA13" s="98">
        <f>IF(Tariff[[#This Row],[To Shipper Site]]="","",INDEX(Sites[ID],MATCH(Tariff[[#This Row],[To Shipper Site]],Sites[Code],0)))</f>
        <v>964</v>
      </c>
      <c r="AB13" s="98">
        <v>43</v>
      </c>
      <c r="AC13" s="98">
        <v>202</v>
      </c>
    </row>
    <row r="14" spans="1:33">
      <c r="B14" s="94">
        <f>IF(Tariff[[#This Row],[Active]]=TRUE,1,0)</f>
        <v>1</v>
      </c>
      <c r="C14" s="95" t="b">
        <v>1</v>
      </c>
      <c r="D14" s="96" t="s">
        <v>325</v>
      </c>
      <c r="E14" s="97" t="s">
        <v>219</v>
      </c>
      <c r="F14" s="97">
        <v>-3.794</v>
      </c>
      <c r="G14" s="103" t="s">
        <v>21</v>
      </c>
      <c r="H14" s="99" t="b">
        <v>0</v>
      </c>
      <c r="I14" s="94"/>
      <c r="J14" s="99" t="b">
        <v>0</v>
      </c>
      <c r="K14" s="99"/>
      <c r="L14" s="99" t="b">
        <v>1</v>
      </c>
      <c r="M14" s="99" t="s">
        <v>91</v>
      </c>
      <c r="N14" s="95" t="b">
        <v>0</v>
      </c>
      <c r="O14" s="94"/>
      <c r="P14" s="94" t="b">
        <v>0</v>
      </c>
      <c r="Q14" s="94"/>
      <c r="R14" s="94" t="s">
        <v>261</v>
      </c>
      <c r="S14" s="94" t="s">
        <v>263</v>
      </c>
      <c r="T14" s="98" t="s">
        <v>220</v>
      </c>
      <c r="U14" s="98" t="str">
        <f>IF(Tariff[[#This Row],[Commodity]]="","",INDEX(Commodities[ID],MATCH(Tariff[[#This Row],[Commodity]],Commodities[Code],0)))</f>
        <v/>
      </c>
      <c r="V14" s="98" t="str">
        <f>IF(Tariff[[#This Row],[Material Type]]="","",INDEX(MaterialTypes[ID],MATCH(Tariff[[#This Row],[Material Type]],MaterialTypes[Code],0)))</f>
        <v/>
      </c>
      <c r="W14" s="98">
        <f>IF(Tariff[[#This Row],[Transport Method]]="","",INDEX(TransportMethods[ID],MATCH(Tariff[[#This Row],[Transport Method]],TransportMethods[Code],0)))</f>
        <v>3</v>
      </c>
      <c r="X14" s="98" t="str">
        <f>IF(Tariff[[#This Row],[From Shipper]]="","",INDEX(Shippers[ID],MATCH(Tariff[[#This Row],[From Shipper]],Shippers[Code],0)))</f>
        <v/>
      </c>
      <c r="Y14" s="98" t="str">
        <f>IF(Tariff[[#This Row],[From Shipper Site]]="","",INDEX(Sites[ID],MATCH(Tariff[[#This Row],[From Shipper Site]],Sites[Code],0)))</f>
        <v/>
      </c>
      <c r="Z14" s="98">
        <f>IF(Tariff[[#This Row],[To Shipper]]="","",INDEX(Shippers[ID],MATCH(Tariff[[#This Row],[To Shipper]],Shippers[Code],0)))</f>
        <v>22</v>
      </c>
      <c r="AA14" s="98">
        <f>IF(Tariff[[#This Row],[To Shipper Site]]="","",INDEX(Sites[ID],MATCH(Tariff[[#This Row],[To Shipper Site]],Sites[Code],0)))</f>
        <v>964</v>
      </c>
      <c r="AB14" s="98">
        <v>43</v>
      </c>
      <c r="AC14" s="98">
        <v>203</v>
      </c>
    </row>
    <row r="15" spans="1:33">
      <c r="B15" s="94">
        <f>IF(Tariff[[#This Row],[Active]]=TRUE,1,0)</f>
        <v>1</v>
      </c>
      <c r="C15" s="95" t="b">
        <v>1</v>
      </c>
      <c r="D15" s="96" t="s">
        <v>326</v>
      </c>
      <c r="E15" s="97" t="s">
        <v>217</v>
      </c>
      <c r="F15" s="97">
        <v>-0.11</v>
      </c>
      <c r="G15" s="103" t="s">
        <v>21</v>
      </c>
      <c r="H15" s="99" t="b">
        <v>1</v>
      </c>
      <c r="I15" s="94" t="s">
        <v>69</v>
      </c>
      <c r="J15" s="99" t="b">
        <v>0</v>
      </c>
      <c r="K15" s="99"/>
      <c r="L15" s="99" t="b">
        <v>0</v>
      </c>
      <c r="M15" s="99" t="s">
        <v>91</v>
      </c>
      <c r="N15" s="95" t="b">
        <v>0</v>
      </c>
      <c r="O15" s="94" t="s">
        <v>294</v>
      </c>
      <c r="P15" s="94" t="b">
        <v>0</v>
      </c>
      <c r="Q15" s="94"/>
      <c r="R15" s="94" t="s">
        <v>261</v>
      </c>
      <c r="S15" s="94" t="s">
        <v>263</v>
      </c>
      <c r="T15" s="98" t="s">
        <v>221</v>
      </c>
      <c r="U15" s="98">
        <f>IF(Tariff[[#This Row],[Commodity]]="","",INDEX(Commodities[ID],MATCH(Tariff[[#This Row],[Commodity]],Commodities[Code],0)))</f>
        <v>913</v>
      </c>
      <c r="V15" s="98" t="str">
        <f>IF(Tariff[[#This Row],[Material Type]]="","",INDEX(MaterialTypes[ID],MATCH(Tariff[[#This Row],[Material Type]],MaterialTypes[Code],0)))</f>
        <v/>
      </c>
      <c r="W15" s="98">
        <f>IF(Tariff[[#This Row],[Transport Method]]="","",INDEX(TransportMethods[ID],MATCH(Tariff[[#This Row],[Transport Method]],TransportMethods[Code],0)))</f>
        <v>3</v>
      </c>
      <c r="X15" s="98">
        <f>IF(Tariff[[#This Row],[From Shipper]]="","",INDEX(Shippers[ID],MATCH(Tariff[[#This Row],[From Shipper]],Shippers[Code],0)))</f>
        <v>12</v>
      </c>
      <c r="Y15" s="98" t="str">
        <f>IF(Tariff[[#This Row],[From Shipper Site]]="","",INDEX(Sites[ID],MATCH(Tariff[[#This Row],[From Shipper Site]],Sites[Code],0)))</f>
        <v/>
      </c>
      <c r="Z15" s="98">
        <f>IF(Tariff[[#This Row],[To Shipper]]="","",INDEX(Shippers[ID],MATCH(Tariff[[#This Row],[To Shipper]],Shippers[Code],0)))</f>
        <v>22</v>
      </c>
      <c r="AA15" s="98">
        <f>IF(Tariff[[#This Row],[To Shipper Site]]="","",INDEX(Sites[ID],MATCH(Tariff[[#This Row],[To Shipper Site]],Sites[Code],0)))</f>
        <v>964</v>
      </c>
      <c r="AB15" s="98">
        <v>43</v>
      </c>
      <c r="AC15" s="98">
        <v>204</v>
      </c>
    </row>
    <row r="16" spans="1:33">
      <c r="B16" s="94">
        <f>IF(Tariff[[#This Row],[Active]]=TRUE,1,0)</f>
        <v>1</v>
      </c>
      <c r="C16" s="95" t="b">
        <v>1</v>
      </c>
      <c r="D16" s="96" t="s">
        <v>327</v>
      </c>
      <c r="E16" s="97" t="s">
        <v>215</v>
      </c>
      <c r="F16" s="97">
        <v>-4.4429999999999996</v>
      </c>
      <c r="G16" s="103" t="s">
        <v>21</v>
      </c>
      <c r="H16" s="99" t="b">
        <v>0</v>
      </c>
      <c r="I16" s="94"/>
      <c r="J16" s="99" t="b">
        <v>0</v>
      </c>
      <c r="K16" s="99"/>
      <c r="L16" s="99" t="b">
        <v>0</v>
      </c>
      <c r="M16" s="99" t="s">
        <v>91</v>
      </c>
      <c r="N16" s="95" t="b">
        <v>0</v>
      </c>
      <c r="O16" s="94" t="s">
        <v>261</v>
      </c>
      <c r="P16" s="94" t="b">
        <v>0</v>
      </c>
      <c r="Q16" s="94" t="s">
        <v>263</v>
      </c>
      <c r="R16" s="94" t="s">
        <v>294</v>
      </c>
      <c r="S16" s="94"/>
      <c r="T16" s="98" t="s">
        <v>276</v>
      </c>
      <c r="U16" s="98" t="str">
        <f>IF(Tariff[[#This Row],[Commodity]]="","",INDEX(Commodities[ID],MATCH(Tariff[[#This Row],[Commodity]],Commodities[Code],0)))</f>
        <v/>
      </c>
      <c r="V16" s="98" t="str">
        <f>IF(Tariff[[#This Row],[Material Type]]="","",INDEX(MaterialTypes[ID],MATCH(Tariff[[#This Row],[Material Type]],MaterialTypes[Code],0)))</f>
        <v/>
      </c>
      <c r="W16" s="98">
        <f>IF(Tariff[[#This Row],[Transport Method]]="","",INDEX(TransportMethods[ID],MATCH(Tariff[[#This Row],[Transport Method]],TransportMethods[Code],0)))</f>
        <v>3</v>
      </c>
      <c r="X16" s="98">
        <f>IF(Tariff[[#This Row],[From Shipper]]="","",INDEX(Shippers[ID],MATCH(Tariff[[#This Row],[From Shipper]],Shippers[Code],0)))</f>
        <v>22</v>
      </c>
      <c r="Y16" s="98">
        <f>IF(Tariff[[#This Row],[From Shipper Site]]="","",INDEX(Sites[ID],MATCH(Tariff[[#This Row],[From Shipper Site]],Sites[Code],0)))</f>
        <v>964</v>
      </c>
      <c r="Z16" s="98">
        <f>IF(Tariff[[#This Row],[To Shipper]]="","",INDEX(Shippers[ID],MATCH(Tariff[[#This Row],[To Shipper]],Shippers[Code],0)))</f>
        <v>12</v>
      </c>
      <c r="AA16" s="98" t="str">
        <f>IF(Tariff[[#This Row],[To Shipper Site]]="","",INDEX(Sites[ID],MATCH(Tariff[[#This Row],[To Shipper Site]],Sites[Code],0)))</f>
        <v/>
      </c>
      <c r="AB16" s="98">
        <v>43</v>
      </c>
      <c r="AC16" s="98">
        <v>205</v>
      </c>
    </row>
    <row r="17" spans="2:29">
      <c r="B17" s="94">
        <f>IF(Tariff[[#This Row],[Active]]=TRUE,1,0)</f>
        <v>1</v>
      </c>
      <c r="C17" s="95" t="b">
        <v>1</v>
      </c>
      <c r="D17" s="96" t="s">
        <v>328</v>
      </c>
      <c r="E17" s="97" t="s">
        <v>68</v>
      </c>
      <c r="F17" s="97">
        <v>10.65</v>
      </c>
      <c r="G17" s="103" t="s">
        <v>21</v>
      </c>
      <c r="H17" s="99" t="b">
        <v>0</v>
      </c>
      <c r="I17" s="94"/>
      <c r="J17" s="99" t="b">
        <v>0</v>
      </c>
      <c r="K17" s="99"/>
      <c r="L17" s="99" t="b">
        <v>0</v>
      </c>
      <c r="M17" s="99" t="s">
        <v>91</v>
      </c>
      <c r="N17" s="95" t="b">
        <v>0</v>
      </c>
      <c r="O17" s="94" t="s">
        <v>261</v>
      </c>
      <c r="P17" s="94" t="b">
        <v>0</v>
      </c>
      <c r="Q17" s="94" t="s">
        <v>263</v>
      </c>
      <c r="R17" s="94" t="s">
        <v>294</v>
      </c>
      <c r="S17" s="94"/>
      <c r="T17" s="98" t="s">
        <v>222</v>
      </c>
      <c r="U17" s="98" t="str">
        <f>IF(Tariff[[#This Row],[Commodity]]="","",INDEX(Commodities[ID],MATCH(Tariff[[#This Row],[Commodity]],Commodities[Code],0)))</f>
        <v/>
      </c>
      <c r="V17" s="98" t="str">
        <f>IF(Tariff[[#This Row],[Material Type]]="","",INDEX(MaterialTypes[ID],MATCH(Tariff[[#This Row],[Material Type]],MaterialTypes[Code],0)))</f>
        <v/>
      </c>
      <c r="W17" s="98">
        <f>IF(Tariff[[#This Row],[Transport Method]]="","",INDEX(TransportMethods[ID],MATCH(Tariff[[#This Row],[Transport Method]],TransportMethods[Code],0)))</f>
        <v>3</v>
      </c>
      <c r="X17" s="98">
        <f>IF(Tariff[[#This Row],[From Shipper]]="","",INDEX(Shippers[ID],MATCH(Tariff[[#This Row],[From Shipper]],Shippers[Code],0)))</f>
        <v>22</v>
      </c>
      <c r="Y17" s="98">
        <f>IF(Tariff[[#This Row],[From Shipper Site]]="","",INDEX(Sites[ID],MATCH(Tariff[[#This Row],[From Shipper Site]],Sites[Code],0)))</f>
        <v>964</v>
      </c>
      <c r="Z17" s="98">
        <f>IF(Tariff[[#This Row],[To Shipper]]="","",INDEX(Shippers[ID],MATCH(Tariff[[#This Row],[To Shipper]],Shippers[Code],0)))</f>
        <v>12</v>
      </c>
      <c r="AA17" s="98" t="str">
        <f>IF(Tariff[[#This Row],[To Shipper Site]]="","",INDEX(Sites[ID],MATCH(Tariff[[#This Row],[To Shipper Site]],Sites[Code],0)))</f>
        <v/>
      </c>
      <c r="AB17" s="98">
        <v>43</v>
      </c>
      <c r="AC17" s="98">
        <v>206</v>
      </c>
    </row>
  </sheetData>
  <dataConsolidate/>
  <mergeCells count="1">
    <mergeCell ref="B2:H2"/>
  </mergeCells>
  <conditionalFormatting sqref="B5:AC17">
    <cfRule type="expression" dxfId="31" priority="9">
      <formula>$C5 = FALSE</formula>
    </cfRule>
  </conditionalFormatting>
  <conditionalFormatting sqref="C5:C17 N5:N17">
    <cfRule type="containsText" dxfId="30" priority="10" operator="containsText" text="TRUE">
      <formula>NOT(ISERROR(SEARCH("TRUE",C5)))</formula>
    </cfRule>
    <cfRule type="containsText" dxfId="29" priority="11" operator="containsText" text="FALSE">
      <formula>NOT(ISERROR(SEARCH("FALSE",C5)))</formula>
    </cfRule>
  </conditionalFormatting>
  <conditionalFormatting sqref="H5:H17">
    <cfRule type="containsText" dxfId="28" priority="7" operator="containsText" text="TRUE">
      <formula>NOT(ISERROR(SEARCH("TRUE",H5)))</formula>
    </cfRule>
    <cfRule type="containsText" dxfId="27" priority="8" operator="containsText" text="FALSE">
      <formula>NOT(ISERROR(SEARCH("FALSE",H5)))</formula>
    </cfRule>
  </conditionalFormatting>
  <conditionalFormatting sqref="J5:J17">
    <cfRule type="containsText" dxfId="26" priority="5" operator="containsText" text="TRUE">
      <formula>NOT(ISERROR(SEARCH("TRUE",J5)))</formula>
    </cfRule>
    <cfRule type="containsText" dxfId="25" priority="6" operator="containsText" text="FALSE">
      <formula>NOT(ISERROR(SEARCH("FALSE",J5)))</formula>
    </cfRule>
  </conditionalFormatting>
  <conditionalFormatting sqref="K5:K17">
    <cfRule type="containsText" dxfId="24" priority="3" operator="containsText" text="TRUE">
      <formula>NOT(ISERROR(SEARCH("TRUE",K5)))</formula>
    </cfRule>
    <cfRule type="containsText" dxfId="23" priority="4" operator="containsText" text="FALSE">
      <formula>NOT(ISERROR(SEARCH("FALSE",K5)))</formula>
    </cfRule>
  </conditionalFormatting>
  <conditionalFormatting sqref="L5:M17">
    <cfRule type="containsText" dxfId="22" priority="1" operator="containsText" text="TRUE">
      <formula>NOT(ISERROR(SEARCH("TRUE",L5)))</formula>
    </cfRule>
    <cfRule type="containsText" dxfId="21" priority="2" operator="containsText" text="FALSE">
      <formula>NOT(ISERROR(SEARCH("FALSE",L5)))</formula>
    </cfRule>
  </conditionalFormatting>
  <dataValidations count="8">
    <dataValidation type="list" allowBlank="1" showInputMessage="1" showErrorMessage="1" sqref="C5:C17 H5:H17 L5:L17 N5:N17 P5:P17 J5:J17" xr:uid="{00000000-0002-0000-0B00-000000000000}">
      <formula1>"TRUE, FALSE"</formula1>
    </dataValidation>
    <dataValidation type="list" allowBlank="1" showInputMessage="1" showErrorMessage="1" sqref="E5:E17" xr:uid="{00000000-0002-0000-0B00-000001000000}">
      <formula1>"ALLOWANCE, COST_ADJUSTMENTS, SALES_ADJUSTMENTS, TARIFF, TOLL, WADF"</formula1>
    </dataValidation>
    <dataValidation type="list" allowBlank="1" showInputMessage="1" showErrorMessage="1" sqref="G5:G17" xr:uid="{00000000-0002-0000-0B00-000002000000}">
      <formula1>"CAN, USD"</formula1>
    </dataValidation>
    <dataValidation type="list" allowBlank="1" showInputMessage="1" showErrorMessage="1" sqref="I5:I17" xr:uid="{00000000-0002-0000-0B00-000003000000}">
      <formula1>INDIRECT("Commodities[Code]")</formula1>
    </dataValidation>
    <dataValidation type="list" allowBlank="1" showInputMessage="1" showErrorMessage="1" sqref="K5:K17" xr:uid="{00000000-0002-0000-0B00-000004000000}">
      <formula1>INDIRECT("MaterialTypes[Code]")</formula1>
    </dataValidation>
    <dataValidation type="list" allowBlank="1" showInputMessage="1" showErrorMessage="1" sqref="M5:M17" xr:uid="{00000000-0002-0000-0B00-000005000000}">
      <formula1>INDIRECT("TransportMethods[Code]")</formula1>
    </dataValidation>
    <dataValidation type="list" allowBlank="1" showInputMessage="1" showErrorMessage="1" sqref="O5:O17 R5:R17" xr:uid="{00000000-0002-0000-0B00-000006000000}">
      <formula1>INDIRECT("Shippers[Code]")</formula1>
    </dataValidation>
    <dataValidation type="list" allowBlank="1" showInputMessage="1" showErrorMessage="1" sqref="Q5:Q17 S5:S17" xr:uid="{00000000-0002-0000-0B00-000007000000}">
      <formula1>INDIRECT("Sites[Code]")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53"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theme="7" tint="-0.499984740745262"/>
    <pageSetUpPr fitToPage="1"/>
  </sheetPr>
  <dimension ref="A1:M8"/>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I16" sqref="I16"/>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2.5703125" bestFit="1" customWidth="1"/>
    <col min="6" max="6" width="19.5703125" bestFit="1" customWidth="1"/>
    <col min="7" max="7" width="19.28515625" style="84" bestFit="1" customWidth="1"/>
    <col min="8" max="8" width="22.42578125" style="84" bestFit="1" customWidth="1"/>
    <col min="9" max="9" width="19.5703125" style="84" bestFit="1" customWidth="1"/>
    <col min="10" max="10" width="22.7109375" style="84" bestFit="1" customWidth="1"/>
    <col min="11" max="11" width="22.7109375" hidden="1" customWidth="1"/>
    <col min="12" max="12" width="15.85546875" hidden="1" customWidth="1"/>
    <col min="13" max="13" width="7.42578125" hidden="1" customWidth="1"/>
  </cols>
  <sheetData>
    <row r="1" spans="1:13" ht="74.25" hidden="1" customHeight="1">
      <c r="A1" s="16"/>
    </row>
    <row r="2" spans="1:13" s="5" customFormat="1" ht="29.25" customHeight="1" thickBot="1">
      <c r="A2" s="22"/>
      <c r="B2" s="63" t="s">
        <v>252</v>
      </c>
      <c r="C2" s="63"/>
      <c r="D2" s="63"/>
      <c r="E2" s="24"/>
      <c r="G2" s="91"/>
      <c r="H2" s="91"/>
      <c r="I2" s="91"/>
      <c r="J2" s="91"/>
    </row>
    <row r="3" spans="1:13" s="4" customFormat="1" ht="9" customHeight="1" thickTop="1">
      <c r="A3" s="22"/>
      <c r="C3" s="21"/>
      <c r="G3" s="21"/>
      <c r="H3" s="21"/>
      <c r="I3" s="21"/>
      <c r="J3" s="21"/>
    </row>
    <row r="4" spans="1:13" s="13" customFormat="1" ht="15" customHeight="1">
      <c r="A4" s="22"/>
      <c r="B4" s="20" t="s">
        <v>11</v>
      </c>
      <c r="C4" s="19" t="s">
        <v>1</v>
      </c>
      <c r="D4" s="19" t="s">
        <v>0</v>
      </c>
      <c r="E4" s="19" t="s">
        <v>72</v>
      </c>
      <c r="F4" s="19" t="s">
        <v>95</v>
      </c>
      <c r="G4" s="19" t="s">
        <v>97</v>
      </c>
      <c r="H4" s="19" t="s">
        <v>98</v>
      </c>
      <c r="I4" s="19" t="s">
        <v>99</v>
      </c>
      <c r="J4" s="19" t="s">
        <v>100</v>
      </c>
      <c r="K4" s="68" t="s">
        <v>120</v>
      </c>
      <c r="L4" s="19" t="s">
        <v>2</v>
      </c>
      <c r="M4" s="19" t="s">
        <v>17</v>
      </c>
    </row>
    <row r="5" spans="1:13">
      <c r="A5" s="23"/>
      <c r="B5" s="26">
        <f>IF(TotalInflowConstraints[[#This Row],[Active]]=TRUE,1,0)</f>
        <v>1</v>
      </c>
      <c r="C5" s="27" t="b">
        <v>1</v>
      </c>
      <c r="D5" t="s">
        <v>200</v>
      </c>
      <c r="E5" t="s">
        <v>263</v>
      </c>
      <c r="F5" t="s">
        <v>199</v>
      </c>
      <c r="G5" s="27" t="b">
        <v>0</v>
      </c>
      <c r="H5" s="84">
        <v>0</v>
      </c>
      <c r="I5" s="27" t="b">
        <v>1</v>
      </c>
      <c r="J5" s="84">
        <v>120000</v>
      </c>
      <c r="K5">
        <f>IF(TotalInflowConstraints[[#This Row],[Site]]="","",INDEX(Sites[ID],MATCH(TotalInflowConstraints[[#This Row],[Site]],Sites[Code],0)))</f>
        <v>964</v>
      </c>
      <c r="L5" s="32">
        <v>43</v>
      </c>
      <c r="M5" s="32">
        <v>31</v>
      </c>
    </row>
    <row r="6" spans="1:13">
      <c r="B6" s="94">
        <f>IF(TotalInflowConstraints[[#This Row],[Active]]=TRUE,1,0)</f>
        <v>0</v>
      </c>
      <c r="C6" s="95" t="b">
        <v>0</v>
      </c>
      <c r="D6" t="s">
        <v>341</v>
      </c>
      <c r="E6" t="s">
        <v>263</v>
      </c>
      <c r="F6" t="s">
        <v>119</v>
      </c>
      <c r="G6" s="104" t="b">
        <v>1</v>
      </c>
      <c r="H6" s="84">
        <v>0</v>
      </c>
      <c r="I6" s="104" t="b">
        <v>0</v>
      </c>
      <c r="J6" s="84">
        <v>0</v>
      </c>
      <c r="K6">
        <f>IF(TotalInflowConstraints[[#This Row],[Site]]="","",INDEX(Sites[ID],MATCH(TotalInflowConstraints[[#This Row],[Site]],Sites[Code],0)))</f>
        <v>964</v>
      </c>
      <c r="L6" s="98">
        <v>43</v>
      </c>
      <c r="M6" s="98">
        <v>32</v>
      </c>
    </row>
    <row r="8" spans="1:13" ht="14.25" customHeight="1"/>
  </sheetData>
  <dataConsolidate/>
  <conditionalFormatting sqref="B5:C6 L5:M6 G5:G6 I5:I6">
    <cfRule type="expression" dxfId="20" priority="7">
      <formula>$C5 = FALSE</formula>
    </cfRule>
  </conditionalFormatting>
  <conditionalFormatting sqref="C5:C6">
    <cfRule type="containsText" dxfId="19" priority="8" operator="containsText" text="TRUE">
      <formula>NOT(ISERROR(SEARCH("TRUE",C5)))</formula>
    </cfRule>
    <cfRule type="containsText" dxfId="18" priority="9" operator="containsText" text="FALSE">
      <formula>NOT(ISERROR(SEARCH("FALSE",C5)))</formula>
    </cfRule>
  </conditionalFormatting>
  <conditionalFormatting sqref="G5:G6">
    <cfRule type="containsText" dxfId="17" priority="5" operator="containsText" text="TRUE">
      <formula>NOT(ISERROR(SEARCH("TRUE",G5)))</formula>
    </cfRule>
    <cfRule type="containsText" dxfId="16" priority="6" operator="containsText" text="FALSE">
      <formula>NOT(ISERROR(SEARCH("FALSE",G5)))</formula>
    </cfRule>
  </conditionalFormatting>
  <conditionalFormatting sqref="I5:I6">
    <cfRule type="containsText" dxfId="15" priority="2" operator="containsText" text="TRUE">
      <formula>NOT(ISERROR(SEARCH("TRUE",I5)))</formula>
    </cfRule>
    <cfRule type="containsText" dxfId="14" priority="3" operator="containsText" text="FALSE">
      <formula>NOT(ISERROR(SEARCH("FALSE",I5)))</formula>
    </cfRule>
  </conditionalFormatting>
  <dataValidations count="3">
    <dataValidation type="list" allowBlank="1" showInputMessage="1" showErrorMessage="1" sqref="C5:C6 I5:I6 G5:G6" xr:uid="{00000000-0002-0000-0C00-000000000000}">
      <formula1>"TRUE, FALSE"</formula1>
    </dataValidation>
    <dataValidation type="list" allowBlank="1" showInputMessage="1" showErrorMessage="1" sqref="F5:F6" xr:uid="{00000000-0002-0000-0C00-000001000000}">
      <formula1>"FLOW, DENSITY, SULFUR, REVENUE, TVP"</formula1>
    </dataValidation>
    <dataValidation type="list" allowBlank="1" showInputMessage="1" showErrorMessage="1" sqref="E5:E6" xr:uid="{00000000-0002-0000-0C00-000002000000}">
      <formula1>INDIRECT("Sites[Code]")</formula1>
    </dataValidation>
  </dataValidations>
  <pageMargins left="0.7" right="0.7" top="0.75" bottom="0.75" header="0.3" footer="0.3"/>
  <pageSetup scale="6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68"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theme="7" tint="-0.499984740745262"/>
    <pageSetUpPr fitToPage="1"/>
  </sheetPr>
  <dimension ref="A1:AB17"/>
  <sheetViews>
    <sheetView showGridLines="0" topLeftCell="A2" zoomScale="85" zoomScaleNormal="85" workbookViewId="0">
      <pane xSplit="1" ySplit="3" topLeftCell="B5" activePane="bottomRight" state="frozen"/>
      <selection activeCell="P16" sqref="P16"/>
      <selection pane="topRight" activeCell="P16" sqref="P16"/>
      <selection pane="bottomLeft" activeCell="P16" sqref="P16"/>
      <selection pane="bottomRight" activeCell="H30" sqref="H30"/>
    </sheetView>
  </sheetViews>
  <sheetFormatPr defaultRowHeight="15"/>
  <cols>
    <col min="1" max="1" width="21.28515625" style="22" customWidth="1"/>
    <col min="2" max="2" width="6.42578125" customWidth="1"/>
    <col min="3" max="3" width="11.140625" style="15" customWidth="1"/>
    <col min="4" max="4" width="10.140625" customWidth="1"/>
    <col min="5" max="5" width="21.28515625" style="84" bestFit="1" customWidth="1"/>
    <col min="6" max="6" width="19.85546875" style="84" bestFit="1" customWidth="1"/>
    <col min="7" max="7" width="18" style="84" bestFit="1" customWidth="1"/>
    <col min="8" max="8" width="16.28515625" style="84" bestFit="1" customWidth="1"/>
    <col min="9" max="9" width="16.140625" style="84" bestFit="1" customWidth="1"/>
    <col min="10" max="10" width="29.28515625" style="84" bestFit="1" customWidth="1"/>
    <col min="11" max="11" width="21.85546875" style="84" bestFit="1" customWidth="1"/>
    <col min="12" max="12" width="25.42578125" style="84" bestFit="1" customWidth="1"/>
    <col min="13" max="13" width="18" style="84" bestFit="1" customWidth="1"/>
    <col min="14" max="14" width="23.42578125" style="84" bestFit="1" customWidth="1"/>
    <col min="15" max="15" width="15.85546875" style="84" bestFit="1" customWidth="1"/>
    <col min="16" max="16" width="15" style="84" bestFit="1" customWidth="1"/>
    <col min="17" max="17" width="11.5703125" style="84" bestFit="1" customWidth="1"/>
    <col min="18" max="18" width="18.7109375" style="84" customWidth="1"/>
    <col min="19" max="19" width="19.140625" style="84" hidden="1" customWidth="1"/>
    <col min="20" max="20" width="16" style="84" hidden="1" customWidth="1"/>
    <col min="21" max="21" width="23.28515625" style="84" hidden="1" customWidth="1"/>
    <col min="22" max="22" width="19.5703125" style="84" hidden="1" customWidth="1"/>
    <col min="23" max="26" width="15.85546875" style="84" hidden="1" customWidth="1"/>
    <col min="27" max="28" width="7.42578125" hidden="1" customWidth="1"/>
  </cols>
  <sheetData>
    <row r="1" spans="1:28" ht="74.25" hidden="1" customHeight="1">
      <c r="A1" s="16"/>
      <c r="R1" s="84">
        <v>52</v>
      </c>
    </row>
    <row r="2" spans="1:28" s="5" customFormat="1" ht="29.25" customHeight="1" thickBot="1">
      <c r="A2" s="22"/>
      <c r="B2" s="106" t="s">
        <v>253</v>
      </c>
      <c r="C2" s="106"/>
      <c r="D2" s="106"/>
      <c r="E2" s="106"/>
      <c r="F2" s="106"/>
      <c r="G2" s="106"/>
      <c r="H2" s="106"/>
      <c r="I2" s="106"/>
      <c r="J2" s="106"/>
      <c r="K2" s="92"/>
      <c r="L2" s="91"/>
      <c r="M2" s="91"/>
      <c r="N2" s="91"/>
      <c r="O2" s="91"/>
      <c r="P2" s="91"/>
      <c r="Q2" s="91"/>
      <c r="R2" s="91"/>
      <c r="S2" s="91"/>
      <c r="T2" s="91"/>
      <c r="U2" s="91"/>
      <c r="V2" s="91"/>
      <c r="W2" s="91"/>
      <c r="X2" s="91"/>
      <c r="Y2" s="91"/>
      <c r="Z2" s="91"/>
    </row>
    <row r="3" spans="1:28" s="4" customFormat="1" ht="9" customHeight="1" thickTop="1">
      <c r="A3" s="22"/>
      <c r="C3" s="21"/>
      <c r="E3" s="21"/>
      <c r="F3" s="21"/>
      <c r="G3" s="21"/>
      <c r="H3" s="21"/>
      <c r="I3" s="21"/>
      <c r="J3" s="21"/>
      <c r="K3" s="21"/>
      <c r="L3" s="21"/>
      <c r="M3" s="21"/>
      <c r="N3" s="21"/>
      <c r="O3" s="21"/>
      <c r="P3" s="21"/>
      <c r="Q3" s="21"/>
      <c r="R3" s="21"/>
      <c r="S3" s="21"/>
      <c r="T3" s="21"/>
      <c r="U3" s="21"/>
      <c r="V3" s="21"/>
      <c r="W3" s="21"/>
      <c r="X3" s="21"/>
      <c r="Y3" s="21"/>
      <c r="Z3" s="21"/>
    </row>
    <row r="4" spans="1:28" s="13" customFormat="1" ht="15" customHeight="1">
      <c r="A4" s="22"/>
      <c r="B4" s="20" t="s">
        <v>11</v>
      </c>
      <c r="C4" s="19" t="s">
        <v>1</v>
      </c>
      <c r="D4" s="19" t="s">
        <v>0</v>
      </c>
      <c r="E4" s="19" t="s">
        <v>209</v>
      </c>
      <c r="F4" s="19" t="s">
        <v>141</v>
      </c>
      <c r="G4" s="19" t="s">
        <v>93</v>
      </c>
      <c r="H4" s="19" t="s">
        <v>142</v>
      </c>
      <c r="I4" s="19" t="s">
        <v>143</v>
      </c>
      <c r="J4" s="19" t="s">
        <v>144</v>
      </c>
      <c r="K4" s="19" t="s">
        <v>74</v>
      </c>
      <c r="L4" s="19" t="s">
        <v>145</v>
      </c>
      <c r="M4" s="19" t="s">
        <v>45</v>
      </c>
      <c r="N4" s="19" t="s">
        <v>146</v>
      </c>
      <c r="O4" s="19" t="s">
        <v>73</v>
      </c>
      <c r="P4" s="19" t="s">
        <v>65</v>
      </c>
      <c r="Q4" s="19" t="s">
        <v>147</v>
      </c>
      <c r="R4" s="19" t="s">
        <v>148</v>
      </c>
      <c r="S4" s="19" t="s">
        <v>204</v>
      </c>
      <c r="T4" s="19" t="s">
        <v>254</v>
      </c>
      <c r="U4" s="19" t="s">
        <v>255</v>
      </c>
      <c r="V4" s="19" t="s">
        <v>201</v>
      </c>
      <c r="W4" s="19" t="s">
        <v>203</v>
      </c>
      <c r="X4" s="19" t="s">
        <v>206</v>
      </c>
      <c r="Y4" s="19" t="s">
        <v>256</v>
      </c>
      <c r="Z4" s="19" t="s">
        <v>257</v>
      </c>
      <c r="AA4" s="19" t="s">
        <v>2</v>
      </c>
      <c r="AB4" s="19" t="s">
        <v>17</v>
      </c>
    </row>
    <row r="5" spans="1:28">
      <c r="A5" s="23"/>
      <c r="B5" s="26">
        <f>IF(StreamConstraints[[#This Row],[Active]]=TRUE,1,0)</f>
        <v>1</v>
      </c>
      <c r="C5" s="27" t="b">
        <v>1</v>
      </c>
      <c r="D5" s="25" t="s">
        <v>329</v>
      </c>
      <c r="E5" s="27" t="b">
        <v>1</v>
      </c>
      <c r="F5" s="27" t="b">
        <v>0</v>
      </c>
      <c r="G5" s="25" t="s">
        <v>294</v>
      </c>
      <c r="H5" s="27" t="b">
        <v>0</v>
      </c>
      <c r="I5" s="33" t="s">
        <v>299</v>
      </c>
      <c r="J5" s="27" t="b">
        <v>0</v>
      </c>
      <c r="K5" s="26" t="s">
        <v>91</v>
      </c>
      <c r="L5" s="27" t="b">
        <v>0</v>
      </c>
      <c r="M5" s="25"/>
      <c r="N5" t="b">
        <v>0</v>
      </c>
      <c r="O5" s="36"/>
      <c r="P5" s="36" t="s">
        <v>261</v>
      </c>
      <c r="Q5" s="36" t="s">
        <v>263</v>
      </c>
      <c r="R5" s="36" t="s">
        <v>259</v>
      </c>
      <c r="S5" s="84">
        <f>IF(StreamConstraints[[#This Row],[From Shipper]]="","",INDEX(Shippers[ID],MATCH(StreamConstraints[[#This Row],[From Shipper]],Shippers[Code],0)))</f>
        <v>12</v>
      </c>
      <c r="T5" s="84">
        <f>IF(StreamConstraints[[#This Row],[From Site]]="","",INDEX(Sites[ID],MATCH(StreamConstraints[[#This Row],[From Site]],Sites[Code],0)))</f>
        <v>951</v>
      </c>
      <c r="U5" s="84">
        <f>IF(StreamConstraints[[#This Row],[Transport Method]]="","",INDEX(TransportMethods[ID],MATCH(StreamConstraints[[#This Row],[Transport Method]],TransportMethods[Code],0)))</f>
        <v>3</v>
      </c>
      <c r="V5" s="84" t="str">
        <f>IF(StreamConstraints[[#This Row],[Material Type]]="","",INDEX(MaterialTypes[ID],MATCH(StreamConstraints[[#This Row],[Material Type]],MaterialTypes[Code],0)))</f>
        <v/>
      </c>
      <c r="W5" s="84" t="str">
        <f>IF(StreamConstraints[[#This Row],[Commodity]]="","",INDEX(Commodities[ID],MATCH(StreamConstraints[[#This Row],[Commodity]],Commodities[Code],0)))</f>
        <v/>
      </c>
      <c r="X5" s="15">
        <f>IF(StreamConstraints[[#This Row],[To Shipper]]="","",INDEX(Shippers[ID],MATCH(StreamConstraints[[#This Row],[To Shipper]],Shippers[Code],0)))</f>
        <v>22</v>
      </c>
      <c r="Y5" s="15">
        <f>IF(StreamConstraints[[#This Row],[To Site]]="","",INDEX(Sites[ID],MATCH(StreamConstraints[[#This Row],[To Site]],Sites[Code],0)))</f>
        <v>964</v>
      </c>
      <c r="Z5" s="15">
        <f>IF(StreamConstraints[[#This Row],[To Stream]]="","",INDEX(Streams[ID],MATCH(StreamConstraints[[#This Row],[To Stream]],Streams[Code],0)))</f>
        <v>881</v>
      </c>
      <c r="AA5" s="36">
        <v>43</v>
      </c>
      <c r="AB5" s="36">
        <v>36</v>
      </c>
    </row>
    <row r="6" spans="1:28">
      <c r="B6" s="94">
        <f>IF(StreamConstraints[[#This Row],[Active]]=TRUE,1,0)</f>
        <v>1</v>
      </c>
      <c r="C6" s="95" t="b">
        <v>1</v>
      </c>
      <c r="D6" s="94" t="s">
        <v>330</v>
      </c>
      <c r="E6" s="94" t="b">
        <v>0</v>
      </c>
      <c r="F6" s="94" t="b">
        <v>0</v>
      </c>
      <c r="G6" s="94" t="s">
        <v>294</v>
      </c>
      <c r="H6" s="94" t="b">
        <v>0</v>
      </c>
      <c r="I6" s="103" t="s">
        <v>299</v>
      </c>
      <c r="J6" s="103" t="b">
        <v>0</v>
      </c>
      <c r="K6" s="94" t="s">
        <v>91</v>
      </c>
      <c r="L6" s="94" t="b">
        <v>0</v>
      </c>
      <c r="M6" s="94"/>
      <c r="N6" s="84" t="b">
        <v>0</v>
      </c>
      <c r="O6" s="94"/>
      <c r="P6" s="94" t="s">
        <v>261</v>
      </c>
      <c r="Q6" s="94" t="s">
        <v>263</v>
      </c>
      <c r="R6" s="94" t="s">
        <v>301</v>
      </c>
      <c r="S6" s="83">
        <f>IF(StreamConstraints[[#This Row],[From Shipper]]="","",INDEX(Shippers[ID],MATCH(StreamConstraints[[#This Row],[From Shipper]],Shippers[Code],0)))</f>
        <v>12</v>
      </c>
      <c r="T6" s="83">
        <f>IF(StreamConstraints[[#This Row],[From Site]]="","",INDEX(Sites[ID],MATCH(StreamConstraints[[#This Row],[From Site]],Sites[Code],0)))</f>
        <v>951</v>
      </c>
      <c r="U6" s="83">
        <f>IF(StreamConstraints[[#This Row],[Transport Method]]="","",INDEX(TransportMethods[ID],MATCH(StreamConstraints[[#This Row],[Transport Method]],TransportMethods[Code],0)))</f>
        <v>3</v>
      </c>
      <c r="V6" s="83" t="str">
        <f>IF(StreamConstraints[[#This Row],[Material Type]]="","",INDEX(MaterialTypes[ID],MATCH(StreamConstraints[[#This Row],[Material Type]],MaterialTypes[Code],0)))</f>
        <v/>
      </c>
      <c r="W6" s="83" t="str">
        <f>IF(StreamConstraints[[#This Row],[Commodity]]="","",INDEX(Commodities[ID],MATCH(StreamConstraints[[#This Row],[Commodity]],Commodities[Code],0)))</f>
        <v/>
      </c>
      <c r="X6" s="83">
        <f>IF(StreamConstraints[[#This Row],[To Shipper]]="","",INDEX(Shippers[ID],MATCH(StreamConstraints[[#This Row],[To Shipper]],Shippers[Code],0)))</f>
        <v>22</v>
      </c>
      <c r="Y6" s="83">
        <f>IF(StreamConstraints[[#This Row],[To Site]]="","",INDEX(Sites[ID],MATCH(StreamConstraints[[#This Row],[To Site]],Sites[Code],0)))</f>
        <v>964</v>
      </c>
      <c r="Z6" s="83">
        <f>IF(StreamConstraints[[#This Row],[To Stream]]="","",INDEX(Streams[ID],MATCH(StreamConstraints[[#This Row],[To Stream]],Streams[Code],0)))</f>
        <v>910</v>
      </c>
      <c r="AA6" s="94">
        <v>43</v>
      </c>
      <c r="AB6" s="94">
        <v>37</v>
      </c>
    </row>
    <row r="7" spans="1:28">
      <c r="B7" s="94">
        <f>IF(StreamConstraints[[#This Row],[Active]]=TRUE,1,0)</f>
        <v>0</v>
      </c>
      <c r="C7" s="95" t="b">
        <v>0</v>
      </c>
      <c r="D7" s="94" t="s">
        <v>329</v>
      </c>
      <c r="E7" s="94" t="b">
        <v>1</v>
      </c>
      <c r="F7" s="94" t="b">
        <v>0</v>
      </c>
      <c r="G7" s="94" t="s">
        <v>294</v>
      </c>
      <c r="H7" s="94" t="b">
        <v>0</v>
      </c>
      <c r="I7" s="103" t="s">
        <v>298</v>
      </c>
      <c r="J7" s="103" t="b">
        <v>0</v>
      </c>
      <c r="K7" s="94" t="s">
        <v>91</v>
      </c>
      <c r="L7" s="94" t="b">
        <v>0</v>
      </c>
      <c r="M7" s="94"/>
      <c r="N7" s="84" t="b">
        <v>0</v>
      </c>
      <c r="O7" s="94"/>
      <c r="P7" s="94" t="s">
        <v>261</v>
      </c>
      <c r="Q7" s="94" t="s">
        <v>263</v>
      </c>
      <c r="R7" s="94" t="s">
        <v>259</v>
      </c>
      <c r="S7" s="83">
        <f>IF(StreamConstraints[[#This Row],[From Shipper]]="","",INDEX(Shippers[ID],MATCH(StreamConstraints[[#This Row],[From Shipper]],Shippers[Code],0)))</f>
        <v>12</v>
      </c>
      <c r="T7" s="83">
        <f>IF(StreamConstraints[[#This Row],[From Site]]="","",INDEX(Sites[ID],MATCH(StreamConstraints[[#This Row],[From Site]],Sites[Code],0)))</f>
        <v>950</v>
      </c>
      <c r="U7" s="83">
        <f>IF(StreamConstraints[[#This Row],[Transport Method]]="","",INDEX(TransportMethods[ID],MATCH(StreamConstraints[[#This Row],[Transport Method]],TransportMethods[Code],0)))</f>
        <v>3</v>
      </c>
      <c r="V7" s="83" t="str">
        <f>IF(StreamConstraints[[#This Row],[Material Type]]="","",INDEX(MaterialTypes[ID],MATCH(StreamConstraints[[#This Row],[Material Type]],MaterialTypes[Code],0)))</f>
        <v/>
      </c>
      <c r="W7" s="83" t="str">
        <f>IF(StreamConstraints[[#This Row],[Commodity]]="","",INDEX(Commodities[ID],MATCH(StreamConstraints[[#This Row],[Commodity]],Commodities[Code],0)))</f>
        <v/>
      </c>
      <c r="X7" s="83">
        <f>IF(StreamConstraints[[#This Row],[To Shipper]]="","",INDEX(Shippers[ID],MATCH(StreamConstraints[[#This Row],[To Shipper]],Shippers[Code],0)))</f>
        <v>22</v>
      </c>
      <c r="Y7" s="83">
        <f>IF(StreamConstraints[[#This Row],[To Site]]="","",INDEX(Sites[ID],MATCH(StreamConstraints[[#This Row],[To Site]],Sites[Code],0)))</f>
        <v>964</v>
      </c>
      <c r="Z7" s="83">
        <f>IF(StreamConstraints[[#This Row],[To Stream]]="","",INDEX(Streams[ID],MATCH(StreamConstraints[[#This Row],[To Stream]],Streams[Code],0)))</f>
        <v>881</v>
      </c>
      <c r="AA7" s="94">
        <v>43</v>
      </c>
      <c r="AB7" s="94">
        <v>38</v>
      </c>
    </row>
    <row r="8" spans="1:28">
      <c r="B8" s="94">
        <f>IF(StreamConstraints[[#This Row],[Active]]=TRUE,1,0)</f>
        <v>0</v>
      </c>
      <c r="C8" s="95" t="b">
        <v>0</v>
      </c>
      <c r="D8" s="94" t="s">
        <v>331</v>
      </c>
      <c r="E8" s="94" t="b">
        <v>0</v>
      </c>
      <c r="F8" s="94" t="b">
        <v>0</v>
      </c>
      <c r="G8" s="94" t="s">
        <v>294</v>
      </c>
      <c r="H8" s="94" t="b">
        <v>0</v>
      </c>
      <c r="I8" s="103" t="s">
        <v>298</v>
      </c>
      <c r="J8" s="103" t="b">
        <v>0</v>
      </c>
      <c r="K8" s="94" t="s">
        <v>91</v>
      </c>
      <c r="L8" s="94" t="b">
        <v>0</v>
      </c>
      <c r="M8" s="94"/>
      <c r="N8" s="84" t="b">
        <v>0</v>
      </c>
      <c r="O8" s="94"/>
      <c r="P8" s="94" t="s">
        <v>262</v>
      </c>
      <c r="Q8" s="94" t="s">
        <v>264</v>
      </c>
      <c r="R8" s="94" t="s">
        <v>305</v>
      </c>
      <c r="S8" s="83">
        <f>IF(StreamConstraints[[#This Row],[From Shipper]]="","",INDEX(Shippers[ID],MATCH(StreamConstraints[[#This Row],[From Shipper]],Shippers[Code],0)))</f>
        <v>12</v>
      </c>
      <c r="T8" s="83">
        <f>IF(StreamConstraints[[#This Row],[From Site]]="","",INDEX(Sites[ID],MATCH(StreamConstraints[[#This Row],[From Site]],Sites[Code],0)))</f>
        <v>950</v>
      </c>
      <c r="U8" s="83">
        <f>IF(StreamConstraints[[#This Row],[Transport Method]]="","",INDEX(TransportMethods[ID],MATCH(StreamConstraints[[#This Row],[Transport Method]],TransportMethods[Code],0)))</f>
        <v>3</v>
      </c>
      <c r="V8" s="83" t="str">
        <f>IF(StreamConstraints[[#This Row],[Material Type]]="","",INDEX(MaterialTypes[ID],MATCH(StreamConstraints[[#This Row],[Material Type]],MaterialTypes[Code],0)))</f>
        <v/>
      </c>
      <c r="W8" s="83" t="str">
        <f>IF(StreamConstraints[[#This Row],[Commodity]]="","",INDEX(Commodities[ID],MATCH(StreamConstraints[[#This Row],[Commodity]],Commodities[Code],0)))</f>
        <v/>
      </c>
      <c r="X8" s="83">
        <f>IF(StreamConstraints[[#This Row],[To Shipper]]="","",INDEX(Shippers[ID],MATCH(StreamConstraints[[#This Row],[To Shipper]],Shippers[Code],0)))</f>
        <v>48</v>
      </c>
      <c r="Y8" s="83">
        <f>IF(StreamConstraints[[#This Row],[To Site]]="","",INDEX(Sites[ID],MATCH(StreamConstraints[[#This Row],[To Site]],Sites[Code],0)))</f>
        <v>1053</v>
      </c>
      <c r="Z8" s="83">
        <f>IF(StreamConstraints[[#This Row],[To Stream]]="","",INDEX(Streams[ID],MATCH(StreamConstraints[[#This Row],[To Stream]],Streams[Code],0)))</f>
        <v>915</v>
      </c>
      <c r="AA8" s="94">
        <v>43</v>
      </c>
      <c r="AB8" s="94">
        <v>39</v>
      </c>
    </row>
    <row r="9" spans="1:28">
      <c r="B9" s="94">
        <f>IF(StreamConstraints[[#This Row],[Active]]=TRUE,1,0)</f>
        <v>0</v>
      </c>
      <c r="C9" s="95" t="b">
        <v>0</v>
      </c>
      <c r="D9" s="94" t="s">
        <v>332</v>
      </c>
      <c r="E9" s="94" t="b">
        <v>0</v>
      </c>
      <c r="F9" s="94" t="b">
        <v>0</v>
      </c>
      <c r="G9" s="94" t="s">
        <v>294</v>
      </c>
      <c r="H9" s="94" t="b">
        <v>0</v>
      </c>
      <c r="I9" s="103" t="s">
        <v>298</v>
      </c>
      <c r="J9" s="103" t="b">
        <v>0</v>
      </c>
      <c r="K9" s="94" t="s">
        <v>91</v>
      </c>
      <c r="L9" s="94" t="b">
        <v>0</v>
      </c>
      <c r="M9" s="94"/>
      <c r="N9" s="84" t="b">
        <v>0</v>
      </c>
      <c r="O9" s="94"/>
      <c r="P9" s="94" t="s">
        <v>262</v>
      </c>
      <c r="Q9" s="94" t="s">
        <v>264</v>
      </c>
      <c r="R9" s="94" t="s">
        <v>301</v>
      </c>
      <c r="S9" s="83">
        <f>IF(StreamConstraints[[#This Row],[From Shipper]]="","",INDEX(Shippers[ID],MATCH(StreamConstraints[[#This Row],[From Shipper]],Shippers[Code],0)))</f>
        <v>12</v>
      </c>
      <c r="T9" s="83">
        <f>IF(StreamConstraints[[#This Row],[From Site]]="","",INDEX(Sites[ID],MATCH(StreamConstraints[[#This Row],[From Site]],Sites[Code],0)))</f>
        <v>950</v>
      </c>
      <c r="U9" s="83">
        <f>IF(StreamConstraints[[#This Row],[Transport Method]]="","",INDEX(TransportMethods[ID],MATCH(StreamConstraints[[#This Row],[Transport Method]],TransportMethods[Code],0)))</f>
        <v>3</v>
      </c>
      <c r="V9" s="83" t="str">
        <f>IF(StreamConstraints[[#This Row],[Material Type]]="","",INDEX(MaterialTypes[ID],MATCH(StreamConstraints[[#This Row],[Material Type]],MaterialTypes[Code],0)))</f>
        <v/>
      </c>
      <c r="W9" s="83" t="str">
        <f>IF(StreamConstraints[[#This Row],[Commodity]]="","",INDEX(Commodities[ID],MATCH(StreamConstraints[[#This Row],[Commodity]],Commodities[Code],0)))</f>
        <v/>
      </c>
      <c r="X9" s="83">
        <f>IF(StreamConstraints[[#This Row],[To Shipper]]="","",INDEX(Shippers[ID],MATCH(StreamConstraints[[#This Row],[To Shipper]],Shippers[Code],0)))</f>
        <v>48</v>
      </c>
      <c r="Y9" s="83">
        <f>IF(StreamConstraints[[#This Row],[To Site]]="","",INDEX(Sites[ID],MATCH(StreamConstraints[[#This Row],[To Site]],Sites[Code],0)))</f>
        <v>1053</v>
      </c>
      <c r="Z9" s="83">
        <f>IF(StreamConstraints[[#This Row],[To Stream]]="","",INDEX(Streams[ID],MATCH(StreamConstraints[[#This Row],[To Stream]],Streams[Code],0)))</f>
        <v>910</v>
      </c>
      <c r="AA9" s="94">
        <v>43</v>
      </c>
      <c r="AB9" s="94">
        <v>40</v>
      </c>
    </row>
    <row r="10" spans="1:28">
      <c r="B10" s="94">
        <f>IF(StreamConstraints[[#This Row],[Active]]=TRUE,1,0)</f>
        <v>0</v>
      </c>
      <c r="C10" s="95" t="b">
        <v>0</v>
      </c>
      <c r="D10" s="94" t="s">
        <v>333</v>
      </c>
      <c r="E10" s="94" t="b">
        <v>0</v>
      </c>
      <c r="F10" s="94" t="b">
        <v>0</v>
      </c>
      <c r="G10" s="94" t="s">
        <v>294</v>
      </c>
      <c r="H10" s="94" t="b">
        <v>0</v>
      </c>
      <c r="I10" s="103" t="s">
        <v>298</v>
      </c>
      <c r="J10" s="103" t="b">
        <v>0</v>
      </c>
      <c r="K10" s="94" t="s">
        <v>91</v>
      </c>
      <c r="L10" s="94" t="b">
        <v>0</v>
      </c>
      <c r="M10" s="94"/>
      <c r="N10" s="84" t="b">
        <v>0</v>
      </c>
      <c r="O10" s="94"/>
      <c r="P10" s="94" t="s">
        <v>262</v>
      </c>
      <c r="Q10" s="94" t="s">
        <v>264</v>
      </c>
      <c r="R10" s="94"/>
      <c r="S10" s="83">
        <f>IF(StreamConstraints[[#This Row],[From Shipper]]="","",INDEX(Shippers[ID],MATCH(StreamConstraints[[#This Row],[From Shipper]],Shippers[Code],0)))</f>
        <v>12</v>
      </c>
      <c r="T10" s="83">
        <f>IF(StreamConstraints[[#This Row],[From Site]]="","",INDEX(Sites[ID],MATCH(StreamConstraints[[#This Row],[From Site]],Sites[Code],0)))</f>
        <v>950</v>
      </c>
      <c r="U10" s="83">
        <f>IF(StreamConstraints[[#This Row],[Transport Method]]="","",INDEX(TransportMethods[ID],MATCH(StreamConstraints[[#This Row],[Transport Method]],TransportMethods[Code],0)))</f>
        <v>3</v>
      </c>
      <c r="V10" s="83" t="str">
        <f>IF(StreamConstraints[[#This Row],[Material Type]]="","",INDEX(MaterialTypes[ID],MATCH(StreamConstraints[[#This Row],[Material Type]],MaterialTypes[Code],0)))</f>
        <v/>
      </c>
      <c r="W10" s="83" t="str">
        <f>IF(StreamConstraints[[#This Row],[Commodity]]="","",INDEX(Commodities[ID],MATCH(StreamConstraints[[#This Row],[Commodity]],Commodities[Code],0)))</f>
        <v/>
      </c>
      <c r="X10" s="83">
        <f>IF(StreamConstraints[[#This Row],[To Shipper]]="","",INDEX(Shippers[ID],MATCH(StreamConstraints[[#This Row],[To Shipper]],Shippers[Code],0)))</f>
        <v>48</v>
      </c>
      <c r="Y10" s="83">
        <f>IF(StreamConstraints[[#This Row],[To Site]]="","",INDEX(Sites[ID],MATCH(StreamConstraints[[#This Row],[To Site]],Sites[Code],0)))</f>
        <v>1053</v>
      </c>
      <c r="Z10" s="83" t="str">
        <f>IF(StreamConstraints[[#This Row],[To Stream]]="","",INDEX(Streams[ID],MATCH(StreamConstraints[[#This Row],[To Stream]],Streams[Code],0)))</f>
        <v/>
      </c>
      <c r="AA10" s="94">
        <v>43</v>
      </c>
      <c r="AB10" s="94">
        <v>41</v>
      </c>
    </row>
    <row r="11" spans="1:28">
      <c r="B11" s="94">
        <f>IF(StreamConstraints[[#This Row],[Active]]=TRUE,1,0)</f>
        <v>0</v>
      </c>
      <c r="C11" s="95" t="b">
        <v>0</v>
      </c>
      <c r="D11" s="94" t="s">
        <v>334</v>
      </c>
      <c r="E11" s="94" t="b">
        <v>0</v>
      </c>
      <c r="F11" s="94" t="b">
        <v>0</v>
      </c>
      <c r="G11" s="94" t="s">
        <v>294</v>
      </c>
      <c r="H11" s="94" t="b">
        <v>0</v>
      </c>
      <c r="I11" s="103" t="s">
        <v>299</v>
      </c>
      <c r="J11" s="103" t="b">
        <v>0</v>
      </c>
      <c r="K11" s="94" t="s">
        <v>91</v>
      </c>
      <c r="L11" s="94" t="b">
        <v>0</v>
      </c>
      <c r="M11" s="94"/>
      <c r="N11" s="84" t="b">
        <v>0</v>
      </c>
      <c r="O11" s="94"/>
      <c r="P11" s="94" t="s">
        <v>262</v>
      </c>
      <c r="Q11" s="94" t="s">
        <v>265</v>
      </c>
      <c r="R11" s="94" t="s">
        <v>308</v>
      </c>
      <c r="S11" s="83">
        <f>IF(StreamConstraints[[#This Row],[From Shipper]]="","",INDEX(Shippers[ID],MATCH(StreamConstraints[[#This Row],[From Shipper]],Shippers[Code],0)))</f>
        <v>12</v>
      </c>
      <c r="T11" s="83">
        <f>IF(StreamConstraints[[#This Row],[From Site]]="","",INDEX(Sites[ID],MATCH(StreamConstraints[[#This Row],[From Site]],Sites[Code],0)))</f>
        <v>951</v>
      </c>
      <c r="U11" s="83">
        <f>IF(StreamConstraints[[#This Row],[Transport Method]]="","",INDEX(TransportMethods[ID],MATCH(StreamConstraints[[#This Row],[Transport Method]],TransportMethods[Code],0)))</f>
        <v>3</v>
      </c>
      <c r="V11" s="83" t="str">
        <f>IF(StreamConstraints[[#This Row],[Material Type]]="","",INDEX(MaterialTypes[ID],MATCH(StreamConstraints[[#This Row],[Material Type]],MaterialTypes[Code],0)))</f>
        <v/>
      </c>
      <c r="W11" s="83" t="str">
        <f>IF(StreamConstraints[[#This Row],[Commodity]]="","",INDEX(Commodities[ID],MATCH(StreamConstraints[[#This Row],[Commodity]],Commodities[Code],0)))</f>
        <v/>
      </c>
      <c r="X11" s="83">
        <f>IF(StreamConstraints[[#This Row],[To Shipper]]="","",INDEX(Shippers[ID],MATCH(StreamConstraints[[#This Row],[To Shipper]],Shippers[Code],0)))</f>
        <v>48</v>
      </c>
      <c r="Y11" s="83">
        <f>IF(StreamConstraints[[#This Row],[To Site]]="","",INDEX(Sites[ID],MATCH(StreamConstraints[[#This Row],[To Site]],Sites[Code],0)))</f>
        <v>1054</v>
      </c>
      <c r="Z11" s="83">
        <f>IF(StreamConstraints[[#This Row],[To Stream]]="","",INDEX(Streams[ID],MATCH(StreamConstraints[[#This Row],[To Stream]],Streams[Code],0)))</f>
        <v>918</v>
      </c>
      <c r="AA11" s="94">
        <v>43</v>
      </c>
      <c r="AB11" s="94">
        <v>42</v>
      </c>
    </row>
    <row r="12" spans="1:28">
      <c r="B12" s="94">
        <f>IF(StreamConstraints[[#This Row],[Active]]=TRUE,1,0)</f>
        <v>0</v>
      </c>
      <c r="C12" s="95" t="b">
        <v>0</v>
      </c>
      <c r="D12" s="94" t="s">
        <v>335</v>
      </c>
      <c r="E12" s="94" t="b">
        <v>0</v>
      </c>
      <c r="F12" s="94" t="b">
        <v>0</v>
      </c>
      <c r="G12" s="94" t="s">
        <v>294</v>
      </c>
      <c r="H12" s="94" t="b">
        <v>0</v>
      </c>
      <c r="I12" s="103" t="s">
        <v>299</v>
      </c>
      <c r="J12" s="103" t="b">
        <v>0</v>
      </c>
      <c r="K12" s="94" t="s">
        <v>91</v>
      </c>
      <c r="L12" s="94" t="b">
        <v>0</v>
      </c>
      <c r="M12" s="94"/>
      <c r="N12" s="84" t="b">
        <v>0</v>
      </c>
      <c r="O12" s="94"/>
      <c r="P12" s="94" t="s">
        <v>262</v>
      </c>
      <c r="Q12" s="94" t="s">
        <v>265</v>
      </c>
      <c r="R12" s="94" t="s">
        <v>309</v>
      </c>
      <c r="S12" s="83">
        <f>IF(StreamConstraints[[#This Row],[From Shipper]]="","",INDEX(Shippers[ID],MATCH(StreamConstraints[[#This Row],[From Shipper]],Shippers[Code],0)))</f>
        <v>12</v>
      </c>
      <c r="T12" s="83">
        <f>IF(StreamConstraints[[#This Row],[From Site]]="","",INDEX(Sites[ID],MATCH(StreamConstraints[[#This Row],[From Site]],Sites[Code],0)))</f>
        <v>951</v>
      </c>
      <c r="U12" s="83">
        <f>IF(StreamConstraints[[#This Row],[Transport Method]]="","",INDEX(TransportMethods[ID],MATCH(StreamConstraints[[#This Row],[Transport Method]],TransportMethods[Code],0)))</f>
        <v>3</v>
      </c>
      <c r="V12" s="83" t="str">
        <f>IF(StreamConstraints[[#This Row],[Material Type]]="","",INDEX(MaterialTypes[ID],MATCH(StreamConstraints[[#This Row],[Material Type]],MaterialTypes[Code],0)))</f>
        <v/>
      </c>
      <c r="W12" s="83" t="str">
        <f>IF(StreamConstraints[[#This Row],[Commodity]]="","",INDEX(Commodities[ID],MATCH(StreamConstraints[[#This Row],[Commodity]],Commodities[Code],0)))</f>
        <v/>
      </c>
      <c r="X12" s="83">
        <f>IF(StreamConstraints[[#This Row],[To Shipper]]="","",INDEX(Shippers[ID],MATCH(StreamConstraints[[#This Row],[To Shipper]],Shippers[Code],0)))</f>
        <v>48</v>
      </c>
      <c r="Y12" s="83">
        <f>IF(StreamConstraints[[#This Row],[To Site]]="","",INDEX(Sites[ID],MATCH(StreamConstraints[[#This Row],[To Site]],Sites[Code],0)))</f>
        <v>1054</v>
      </c>
      <c r="Z12" s="83">
        <f>IF(StreamConstraints[[#This Row],[To Stream]]="","",INDEX(Streams[ID],MATCH(StreamConstraints[[#This Row],[To Stream]],Streams[Code],0)))</f>
        <v>919</v>
      </c>
      <c r="AA12" s="94">
        <v>43</v>
      </c>
      <c r="AB12" s="94">
        <v>43</v>
      </c>
    </row>
    <row r="13" spans="1:28">
      <c r="B13" s="94">
        <f>IF(StreamConstraints[[#This Row],[Active]]=TRUE,1,0)</f>
        <v>0</v>
      </c>
      <c r="C13" s="95" t="b">
        <v>0</v>
      </c>
      <c r="D13" s="94" t="s">
        <v>336</v>
      </c>
      <c r="E13" s="94" t="b">
        <v>0</v>
      </c>
      <c r="F13" s="94" t="b">
        <v>0</v>
      </c>
      <c r="G13" s="94" t="s">
        <v>294</v>
      </c>
      <c r="H13" s="94" t="b">
        <v>0</v>
      </c>
      <c r="I13" s="103" t="s">
        <v>298</v>
      </c>
      <c r="J13" s="103" t="b">
        <v>0</v>
      </c>
      <c r="K13" s="94" t="s">
        <v>91</v>
      </c>
      <c r="L13" s="94" t="b">
        <v>0</v>
      </c>
      <c r="M13" s="94"/>
      <c r="N13" s="84" t="b">
        <v>0</v>
      </c>
      <c r="O13" s="94"/>
      <c r="P13" s="94" t="s">
        <v>262</v>
      </c>
      <c r="Q13" s="94" t="s">
        <v>265</v>
      </c>
      <c r="R13" s="94" t="s">
        <v>309</v>
      </c>
      <c r="S13" s="83">
        <f>IF(StreamConstraints[[#This Row],[From Shipper]]="","",INDEX(Shippers[ID],MATCH(StreamConstraints[[#This Row],[From Shipper]],Shippers[Code],0)))</f>
        <v>12</v>
      </c>
      <c r="T13" s="83">
        <f>IF(StreamConstraints[[#This Row],[From Site]]="","",INDEX(Sites[ID],MATCH(StreamConstraints[[#This Row],[From Site]],Sites[Code],0)))</f>
        <v>950</v>
      </c>
      <c r="U13" s="83">
        <f>IF(StreamConstraints[[#This Row],[Transport Method]]="","",INDEX(TransportMethods[ID],MATCH(StreamConstraints[[#This Row],[Transport Method]],TransportMethods[Code],0)))</f>
        <v>3</v>
      </c>
      <c r="V13" s="83" t="str">
        <f>IF(StreamConstraints[[#This Row],[Material Type]]="","",INDEX(MaterialTypes[ID],MATCH(StreamConstraints[[#This Row],[Material Type]],MaterialTypes[Code],0)))</f>
        <v/>
      </c>
      <c r="W13" s="83" t="str">
        <f>IF(StreamConstraints[[#This Row],[Commodity]]="","",INDEX(Commodities[ID],MATCH(StreamConstraints[[#This Row],[Commodity]],Commodities[Code],0)))</f>
        <v/>
      </c>
      <c r="X13" s="83">
        <f>IF(StreamConstraints[[#This Row],[To Shipper]]="","",INDEX(Shippers[ID],MATCH(StreamConstraints[[#This Row],[To Shipper]],Shippers[Code],0)))</f>
        <v>48</v>
      </c>
      <c r="Y13" s="83">
        <f>IF(StreamConstraints[[#This Row],[To Site]]="","",INDEX(Sites[ID],MATCH(StreamConstraints[[#This Row],[To Site]],Sites[Code],0)))</f>
        <v>1054</v>
      </c>
      <c r="Z13" s="83">
        <f>IF(StreamConstraints[[#This Row],[To Stream]]="","",INDEX(Streams[ID],MATCH(StreamConstraints[[#This Row],[To Stream]],Streams[Code],0)))</f>
        <v>919</v>
      </c>
      <c r="AA13" s="94">
        <v>43</v>
      </c>
      <c r="AB13" s="94">
        <v>44</v>
      </c>
    </row>
    <row r="14" spans="1:28">
      <c r="B14" s="94">
        <f>IF(StreamConstraints[[#This Row],[Active]]=TRUE,1,0)</f>
        <v>1</v>
      </c>
      <c r="C14" s="95" t="b">
        <v>1</v>
      </c>
      <c r="D14" s="94" t="s">
        <v>337</v>
      </c>
      <c r="E14" s="94" t="b">
        <v>0</v>
      </c>
      <c r="F14" s="94" t="b">
        <v>0</v>
      </c>
      <c r="G14" s="94"/>
      <c r="H14" s="94" t="b">
        <v>0</v>
      </c>
      <c r="I14" s="103"/>
      <c r="J14" s="103" t="b">
        <v>0</v>
      </c>
      <c r="K14" s="94"/>
      <c r="L14" s="94" t="b">
        <v>0</v>
      </c>
      <c r="M14" s="94"/>
      <c r="N14" s="84" t="b">
        <v>0</v>
      </c>
      <c r="O14" s="94" t="s">
        <v>69</v>
      </c>
      <c r="P14" s="94" t="s">
        <v>261</v>
      </c>
      <c r="Q14" s="94" t="s">
        <v>263</v>
      </c>
      <c r="R14" s="94" t="s">
        <v>259</v>
      </c>
      <c r="S14" s="83" t="str">
        <f>IF(StreamConstraints[[#This Row],[From Shipper]]="","",INDEX(Shippers[ID],MATCH(StreamConstraints[[#This Row],[From Shipper]],Shippers[Code],0)))</f>
        <v/>
      </c>
      <c r="T14" s="83" t="str">
        <f>IF(StreamConstraints[[#This Row],[From Site]]="","",INDEX(Sites[ID],MATCH(StreamConstraints[[#This Row],[From Site]],Sites[Code],0)))</f>
        <v/>
      </c>
      <c r="U14" s="83" t="str">
        <f>IF(StreamConstraints[[#This Row],[Transport Method]]="","",INDEX(TransportMethods[ID],MATCH(StreamConstraints[[#This Row],[Transport Method]],TransportMethods[Code],0)))</f>
        <v/>
      </c>
      <c r="V14" s="83" t="str">
        <f>IF(StreamConstraints[[#This Row],[Material Type]]="","",INDEX(MaterialTypes[ID],MATCH(StreamConstraints[[#This Row],[Material Type]],MaterialTypes[Code],0)))</f>
        <v/>
      </c>
      <c r="W14" s="83">
        <f>IF(StreamConstraints[[#This Row],[Commodity]]="","",INDEX(Commodities[ID],MATCH(StreamConstraints[[#This Row],[Commodity]],Commodities[Code],0)))</f>
        <v>913</v>
      </c>
      <c r="X14" s="83">
        <f>IF(StreamConstraints[[#This Row],[To Shipper]]="","",INDEX(Shippers[ID],MATCH(StreamConstraints[[#This Row],[To Shipper]],Shippers[Code],0)))</f>
        <v>22</v>
      </c>
      <c r="Y14" s="83">
        <f>IF(StreamConstraints[[#This Row],[To Site]]="","",INDEX(Sites[ID],MATCH(StreamConstraints[[#This Row],[To Site]],Sites[Code],0)))</f>
        <v>964</v>
      </c>
      <c r="Z14" s="83">
        <f>IF(StreamConstraints[[#This Row],[To Stream]]="","",INDEX(Streams[ID],MATCH(StreamConstraints[[#This Row],[To Stream]],Streams[Code],0)))</f>
        <v>881</v>
      </c>
      <c r="AA14" s="94">
        <v>43</v>
      </c>
      <c r="AB14" s="94">
        <v>45</v>
      </c>
    </row>
    <row r="15" spans="1:28">
      <c r="B15" s="94">
        <f>IF(StreamConstraints[[#This Row],[Active]]=TRUE,1,0)</f>
        <v>0</v>
      </c>
      <c r="C15" s="95" t="b">
        <v>0</v>
      </c>
      <c r="D15" s="94" t="s">
        <v>338</v>
      </c>
      <c r="E15" s="94" t="b">
        <v>1</v>
      </c>
      <c r="F15" s="94" t="b">
        <v>0</v>
      </c>
      <c r="G15" s="94"/>
      <c r="H15" s="94" t="b">
        <v>0</v>
      </c>
      <c r="I15" s="103"/>
      <c r="J15" s="103" t="b">
        <v>0</v>
      </c>
      <c r="K15" s="94"/>
      <c r="L15" s="94" t="b">
        <v>0</v>
      </c>
      <c r="M15" s="94"/>
      <c r="N15" s="84" t="b">
        <v>1</v>
      </c>
      <c r="O15" s="94" t="s">
        <v>166</v>
      </c>
      <c r="P15" s="94" t="s">
        <v>261</v>
      </c>
      <c r="Q15" s="94" t="s">
        <v>263</v>
      </c>
      <c r="R15" s="94" t="s">
        <v>259</v>
      </c>
      <c r="S15" s="83" t="str">
        <f>IF(StreamConstraints[[#This Row],[From Shipper]]="","",INDEX(Shippers[ID],MATCH(StreamConstraints[[#This Row],[From Shipper]],Shippers[Code],0)))</f>
        <v/>
      </c>
      <c r="T15" s="83" t="str">
        <f>IF(StreamConstraints[[#This Row],[From Site]]="","",INDEX(Sites[ID],MATCH(StreamConstraints[[#This Row],[From Site]],Sites[Code],0)))</f>
        <v/>
      </c>
      <c r="U15" s="83" t="str">
        <f>IF(StreamConstraints[[#This Row],[Transport Method]]="","",INDEX(TransportMethods[ID],MATCH(StreamConstraints[[#This Row],[Transport Method]],TransportMethods[Code],0)))</f>
        <v/>
      </c>
      <c r="V15" s="83" t="str">
        <f>IF(StreamConstraints[[#This Row],[Material Type]]="","",INDEX(MaterialTypes[ID],MATCH(StreamConstraints[[#This Row],[Material Type]],MaterialTypes[Code],0)))</f>
        <v/>
      </c>
      <c r="W15" s="83">
        <f>IF(StreamConstraints[[#This Row],[Commodity]]="","",INDEX(Commodities[ID],MATCH(StreamConstraints[[#This Row],[Commodity]],Commodities[Code],0)))</f>
        <v>911</v>
      </c>
      <c r="X15" s="83">
        <f>IF(StreamConstraints[[#This Row],[To Shipper]]="","",INDEX(Shippers[ID],MATCH(StreamConstraints[[#This Row],[To Shipper]],Shippers[Code],0)))</f>
        <v>22</v>
      </c>
      <c r="Y15" s="83">
        <f>IF(StreamConstraints[[#This Row],[To Site]]="","",INDEX(Sites[ID],MATCH(StreamConstraints[[#This Row],[To Site]],Sites[Code],0)))</f>
        <v>964</v>
      </c>
      <c r="Z15" s="83">
        <f>IF(StreamConstraints[[#This Row],[To Stream]]="","",INDEX(Streams[ID],MATCH(StreamConstraints[[#This Row],[To Stream]],Streams[Code],0)))</f>
        <v>881</v>
      </c>
      <c r="AA15" s="94">
        <v>43</v>
      </c>
      <c r="AB15" s="94">
        <v>46</v>
      </c>
    </row>
    <row r="16" spans="1:28">
      <c r="B16" s="94">
        <f>IF(StreamConstraints[[#This Row],[Active]]=TRUE,1,0)</f>
        <v>0</v>
      </c>
      <c r="C16" s="95" t="b">
        <v>0</v>
      </c>
      <c r="D16" s="94" t="s">
        <v>339</v>
      </c>
      <c r="E16" s="94" t="b">
        <v>0</v>
      </c>
      <c r="F16" s="94" t="b">
        <v>0</v>
      </c>
      <c r="G16" s="94"/>
      <c r="H16" s="94" t="b">
        <v>0</v>
      </c>
      <c r="I16" s="103"/>
      <c r="J16" s="103" t="b">
        <v>0</v>
      </c>
      <c r="K16" s="94"/>
      <c r="L16" s="94" t="b">
        <v>0</v>
      </c>
      <c r="M16" s="94"/>
      <c r="N16" s="84" t="b">
        <v>0</v>
      </c>
      <c r="O16" s="94" t="s">
        <v>163</v>
      </c>
      <c r="P16" s="94" t="s">
        <v>261</v>
      </c>
      <c r="Q16" s="94" t="s">
        <v>263</v>
      </c>
      <c r="R16" s="94" t="s">
        <v>301</v>
      </c>
      <c r="S16" s="83" t="str">
        <f>IF(StreamConstraints[[#This Row],[From Shipper]]="","",INDEX(Shippers[ID],MATCH(StreamConstraints[[#This Row],[From Shipper]],Shippers[Code],0)))</f>
        <v/>
      </c>
      <c r="T16" s="83" t="str">
        <f>IF(StreamConstraints[[#This Row],[From Site]]="","",INDEX(Sites[ID],MATCH(StreamConstraints[[#This Row],[From Site]],Sites[Code],0)))</f>
        <v/>
      </c>
      <c r="U16" s="83" t="str">
        <f>IF(StreamConstraints[[#This Row],[Transport Method]]="","",INDEX(TransportMethods[ID],MATCH(StreamConstraints[[#This Row],[Transport Method]],TransportMethods[Code],0)))</f>
        <v/>
      </c>
      <c r="V16" s="83" t="str">
        <f>IF(StreamConstraints[[#This Row],[Material Type]]="","",INDEX(MaterialTypes[ID],MATCH(StreamConstraints[[#This Row],[Material Type]],MaterialTypes[Code],0)))</f>
        <v/>
      </c>
      <c r="W16" s="83">
        <f>IF(StreamConstraints[[#This Row],[Commodity]]="","",INDEX(Commodities[ID],MATCH(StreamConstraints[[#This Row],[Commodity]],Commodities[Code],0)))</f>
        <v>893</v>
      </c>
      <c r="X16" s="83">
        <f>IF(StreamConstraints[[#This Row],[To Shipper]]="","",INDEX(Shippers[ID],MATCH(StreamConstraints[[#This Row],[To Shipper]],Shippers[Code],0)))</f>
        <v>22</v>
      </c>
      <c r="Y16" s="83">
        <f>IF(StreamConstraints[[#This Row],[To Site]]="","",INDEX(Sites[ID],MATCH(StreamConstraints[[#This Row],[To Site]],Sites[Code],0)))</f>
        <v>964</v>
      </c>
      <c r="Z16" s="83">
        <f>IF(StreamConstraints[[#This Row],[To Stream]]="","",INDEX(Streams[ID],MATCH(StreamConstraints[[#This Row],[To Stream]],Streams[Code],0)))</f>
        <v>910</v>
      </c>
      <c r="AA16" s="94">
        <v>43</v>
      </c>
      <c r="AB16" s="94">
        <v>47</v>
      </c>
    </row>
    <row r="17" spans="2:28">
      <c r="B17" s="94">
        <f>IF(StreamConstraints[[#This Row],[Active]]=TRUE,1,0)</f>
        <v>1</v>
      </c>
      <c r="C17" s="95" t="b">
        <v>1</v>
      </c>
      <c r="D17" s="94" t="s">
        <v>340</v>
      </c>
      <c r="E17" s="94" t="b">
        <v>1</v>
      </c>
      <c r="F17" s="94" t="b">
        <v>0</v>
      </c>
      <c r="G17" s="94" t="s">
        <v>34</v>
      </c>
      <c r="H17" s="94" t="b">
        <v>0</v>
      </c>
      <c r="I17" s="103" t="s">
        <v>34</v>
      </c>
      <c r="J17" s="103" t="b">
        <v>0</v>
      </c>
      <c r="K17" s="94"/>
      <c r="L17" s="94" t="b">
        <v>0</v>
      </c>
      <c r="M17" s="94"/>
      <c r="N17" s="84" t="b">
        <v>0</v>
      </c>
      <c r="O17" s="94" t="s">
        <v>140</v>
      </c>
      <c r="P17" s="94" t="s">
        <v>261</v>
      </c>
      <c r="Q17" s="94" t="s">
        <v>263</v>
      </c>
      <c r="R17" s="94" t="s">
        <v>301</v>
      </c>
      <c r="S17" s="83">
        <f>IF(StreamConstraints[[#This Row],[From Shipper]]="","",INDEX(Shippers[ID],MATCH(StreamConstraints[[#This Row],[From Shipper]],Shippers[Code],0)))</f>
        <v>16</v>
      </c>
      <c r="T17" s="83">
        <f>IF(StreamConstraints[[#This Row],[From Site]]="","",INDEX(Sites[ID],MATCH(StreamConstraints[[#This Row],[From Site]],Sites[Code],0)))</f>
        <v>957</v>
      </c>
      <c r="U17" s="83" t="str">
        <f>IF(StreamConstraints[[#This Row],[Transport Method]]="","",INDEX(TransportMethods[ID],MATCH(StreamConstraints[[#This Row],[Transport Method]],TransportMethods[Code],0)))</f>
        <v/>
      </c>
      <c r="V17" s="83" t="str">
        <f>IF(StreamConstraints[[#This Row],[Material Type]]="","",INDEX(MaterialTypes[ID],MATCH(StreamConstraints[[#This Row],[Material Type]],MaterialTypes[Code],0)))</f>
        <v/>
      </c>
      <c r="W17" s="83">
        <f>IF(StreamConstraints[[#This Row],[Commodity]]="","",INDEX(Commodities[ID],MATCH(StreamConstraints[[#This Row],[Commodity]],Commodities[Code],0)))</f>
        <v>910</v>
      </c>
      <c r="X17" s="83">
        <f>IF(StreamConstraints[[#This Row],[To Shipper]]="","",INDEX(Shippers[ID],MATCH(StreamConstraints[[#This Row],[To Shipper]],Shippers[Code],0)))</f>
        <v>22</v>
      </c>
      <c r="Y17" s="83">
        <f>IF(StreamConstraints[[#This Row],[To Site]]="","",INDEX(Sites[ID],MATCH(StreamConstraints[[#This Row],[To Site]],Sites[Code],0)))</f>
        <v>964</v>
      </c>
      <c r="Z17" s="83">
        <f>IF(StreamConstraints[[#This Row],[To Stream]]="","",INDEX(Streams[ID],MATCH(StreamConstraints[[#This Row],[To Stream]],Streams[Code],0)))</f>
        <v>910</v>
      </c>
      <c r="AA17" s="94">
        <v>43</v>
      </c>
      <c r="AB17" s="94">
        <v>48</v>
      </c>
    </row>
  </sheetData>
  <dataConsolidate/>
  <mergeCells count="1">
    <mergeCell ref="B2:J2"/>
  </mergeCells>
  <conditionalFormatting sqref="B5:R17">
    <cfRule type="expression" dxfId="13" priority="14">
      <formula>$C5 = FALSE</formula>
    </cfRule>
  </conditionalFormatting>
  <conditionalFormatting sqref="C5:C17">
    <cfRule type="containsText" dxfId="12" priority="15" operator="containsText" text="TRUE">
      <formula>NOT(ISERROR(SEARCH("TRUE",C5)))</formula>
    </cfRule>
    <cfRule type="containsText" dxfId="11" priority="16" operator="containsText" text="FALSE">
      <formula>NOT(ISERROR(SEARCH("FALSE",C5)))</formula>
    </cfRule>
  </conditionalFormatting>
  <conditionalFormatting sqref="E5:E17">
    <cfRule type="containsText" dxfId="10" priority="12" operator="containsText" text="TRUE">
      <formula>NOT(ISERROR(SEARCH("TRUE",E5)))</formula>
    </cfRule>
    <cfRule type="containsText" dxfId="9" priority="13" operator="containsText" text="FALSE">
      <formula>NOT(ISERROR(SEARCH("FALSE",E5)))</formula>
    </cfRule>
  </conditionalFormatting>
  <conditionalFormatting sqref="F5:F17">
    <cfRule type="containsText" dxfId="8" priority="10" operator="containsText" text="TRUE">
      <formula>NOT(ISERROR(SEARCH("TRUE",F5)))</formula>
    </cfRule>
    <cfRule type="containsText" dxfId="7" priority="11" operator="containsText" text="FALSE">
      <formula>NOT(ISERROR(SEARCH("FALSE",F5)))</formula>
    </cfRule>
  </conditionalFormatting>
  <conditionalFormatting sqref="H5:H17">
    <cfRule type="containsText" dxfId="6" priority="8" operator="containsText" text="TRUE">
      <formula>NOT(ISERROR(SEARCH("TRUE",H5)))</formula>
    </cfRule>
    <cfRule type="containsText" dxfId="5" priority="9" operator="containsText" text="FALSE">
      <formula>NOT(ISERROR(SEARCH("FALSE",H5)))</formula>
    </cfRule>
  </conditionalFormatting>
  <conditionalFormatting sqref="J5:J17">
    <cfRule type="containsText" dxfId="4" priority="6" operator="containsText" text="TRUE">
      <formula>NOT(ISERROR(SEARCH("TRUE",J5)))</formula>
    </cfRule>
    <cfRule type="containsText" dxfId="3" priority="7" operator="containsText" text="FALSE">
      <formula>NOT(ISERROR(SEARCH("FALSE",J5)))</formula>
    </cfRule>
  </conditionalFormatting>
  <conditionalFormatting sqref="L5:L17">
    <cfRule type="containsText" dxfId="2" priority="4" operator="containsText" text="TRUE">
      <formula>NOT(ISERROR(SEARCH("TRUE",L5)))</formula>
    </cfRule>
    <cfRule type="containsText" dxfId="1" priority="5" operator="containsText" text="FALSE">
      <formula>NOT(ISERROR(SEARCH("FALSE",L5)))</formula>
    </cfRule>
  </conditionalFormatting>
  <dataValidations count="7">
    <dataValidation type="list" allowBlank="1" showInputMessage="1" showErrorMessage="1" sqref="C5:C17 H5:H17 J5:J17 L5:L17 N5:N17 E5:F17" xr:uid="{00000000-0002-0000-0D00-000000000000}">
      <formula1>"TRUE, FALSE"</formula1>
    </dataValidation>
    <dataValidation type="list" allowBlank="1" showInputMessage="1" showErrorMessage="1" sqref="G5:G17 P5:P17" xr:uid="{00000000-0002-0000-0D00-000001000000}">
      <formula1>INDIRECT("Shippers[Code]")</formula1>
    </dataValidation>
    <dataValidation type="list" allowBlank="1" showInputMessage="1" showErrorMessage="1" sqref="I5:I17 Q5:Q17" xr:uid="{00000000-0002-0000-0D00-000002000000}">
      <formula1>INDIRECT("Sites[Code]")</formula1>
    </dataValidation>
    <dataValidation type="list" allowBlank="1" showInputMessage="1" showErrorMessage="1" sqref="K5:K17" xr:uid="{00000000-0002-0000-0D00-000003000000}">
      <formula1>INDIRECT("TransportMethods[Code]")</formula1>
    </dataValidation>
    <dataValidation type="list" allowBlank="1" showInputMessage="1" showErrorMessage="1" sqref="M5:M17" xr:uid="{00000000-0002-0000-0D00-000004000000}">
      <formula1>INDIRECT("MaterialTypes[Code]")</formula1>
    </dataValidation>
    <dataValidation type="list" allowBlank="1" showInputMessage="1" showErrorMessage="1" sqref="O5:O17" xr:uid="{00000000-0002-0000-0D00-000005000000}">
      <formula1>INDIRECT("Commodities[Code]")</formula1>
    </dataValidation>
    <dataValidation type="list" allowBlank="1" showInputMessage="1" showErrorMessage="1" sqref="R5:R17" xr:uid="{00000000-0002-0000-0D00-000006000000}">
      <formula1>INDIRECT("Streams[Code]")</formula1>
    </dataValidation>
  </dataValidations>
  <pageMargins left="0.7" right="0.7" top="0.75" bottom="0.75" header="0.3" footer="0.3"/>
  <pageSetup scale="3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9355"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8" tint="0.39997558519241921"/>
    <pageSetUpPr fitToPage="1"/>
  </sheetPr>
  <dimension ref="A1:F27"/>
  <sheetViews>
    <sheetView zoomScaleNormal="100" workbookViewId="0">
      <pane ySplit="1" topLeftCell="A2" activePane="bottomLeft" state="frozen"/>
      <selection activeCell="L37" sqref="L37"/>
      <selection pane="bottomLeft" activeCell="E13" sqref="E13"/>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106" t="s">
        <v>16</v>
      </c>
      <c r="C1" s="106"/>
      <c r="D1" s="106"/>
      <c r="E1" s="106"/>
      <c r="F1" s="106"/>
    </row>
    <row r="2" spans="1:6" s="4" customFormat="1" ht="15.75" thickTop="1">
      <c r="B2" s="62" t="s">
        <v>15</v>
      </c>
    </row>
    <row r="3" spans="1:6" s="13" customFormat="1" ht="15" customHeight="1">
      <c r="A3" s="12"/>
      <c r="B3" s="18" t="s">
        <v>6</v>
      </c>
      <c r="C3" s="18" t="s">
        <v>7</v>
      </c>
    </row>
    <row r="4" spans="1:6" ht="15" customHeight="1">
      <c r="B4" t="s">
        <v>8</v>
      </c>
      <c r="C4" t="s">
        <v>18</v>
      </c>
    </row>
    <row r="5" spans="1:6" ht="15" customHeight="1">
      <c r="B5" t="s">
        <v>9</v>
      </c>
      <c r="C5" t="s">
        <v>281</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theme="8" tint="0.39997558519241921"/>
  </sheetPr>
  <dimension ref="B3:K8"/>
  <sheetViews>
    <sheetView workbookViewId="0">
      <selection activeCell="G7" sqref="G7"/>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66" t="s">
        <v>115</v>
      </c>
      <c r="C3" s="67"/>
      <c r="D3" s="67"/>
      <c r="E3" s="67"/>
      <c r="F3" s="67"/>
      <c r="G3" s="67"/>
      <c r="H3" s="67"/>
      <c r="I3" s="67"/>
      <c r="J3" s="67"/>
      <c r="K3" s="67"/>
    </row>
    <row r="4" spans="2:11">
      <c r="B4" s="18" t="s">
        <v>1</v>
      </c>
      <c r="C4" s="18" t="s">
        <v>0</v>
      </c>
      <c r="D4" s="18" t="s">
        <v>3</v>
      </c>
      <c r="E4" s="18" t="s">
        <v>104</v>
      </c>
      <c r="F4" s="18" t="s">
        <v>105</v>
      </c>
      <c r="G4" s="18" t="s">
        <v>106</v>
      </c>
      <c r="H4" s="18" t="s">
        <v>107</v>
      </c>
      <c r="I4" s="18" t="s">
        <v>108</v>
      </c>
      <c r="J4" s="18" t="s">
        <v>4</v>
      </c>
      <c r="K4" s="18" t="s">
        <v>17</v>
      </c>
    </row>
    <row r="5" spans="2:11">
      <c r="B5" t="b">
        <v>1</v>
      </c>
      <c r="C5" t="s">
        <v>109</v>
      </c>
      <c r="D5" t="s">
        <v>110</v>
      </c>
      <c r="E5">
        <v>50000</v>
      </c>
      <c r="H5">
        <v>1</v>
      </c>
      <c r="I5" t="s">
        <v>111</v>
      </c>
      <c r="K5">
        <v>1</v>
      </c>
    </row>
    <row r="6" spans="2:11">
      <c r="B6" t="b">
        <v>1</v>
      </c>
      <c r="C6" t="s">
        <v>90</v>
      </c>
      <c r="D6" t="s">
        <v>112</v>
      </c>
      <c r="E6">
        <v>35</v>
      </c>
      <c r="H6">
        <v>1</v>
      </c>
      <c r="I6" t="s">
        <v>111</v>
      </c>
      <c r="K6">
        <v>2</v>
      </c>
    </row>
    <row r="7" spans="2:11">
      <c r="B7" t="b">
        <v>1</v>
      </c>
      <c r="C7" t="s">
        <v>91</v>
      </c>
      <c r="D7" t="s">
        <v>113</v>
      </c>
      <c r="E7">
        <v>80000</v>
      </c>
      <c r="H7">
        <v>1</v>
      </c>
      <c r="I7" t="s">
        <v>111</v>
      </c>
      <c r="K7">
        <v>3</v>
      </c>
    </row>
    <row r="8" spans="2:11">
      <c r="B8" t="b">
        <v>1</v>
      </c>
      <c r="C8" t="s">
        <v>92</v>
      </c>
      <c r="D8" t="s">
        <v>114</v>
      </c>
      <c r="E8">
        <v>35</v>
      </c>
      <c r="H8">
        <v>1</v>
      </c>
      <c r="I8" t="s">
        <v>111</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theme="8" tint="0.39997558519241921"/>
  </sheetPr>
  <dimension ref="B3:M20"/>
  <sheetViews>
    <sheetView workbookViewId="0">
      <selection activeCell="F7" sqref="F7"/>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66" t="s">
        <v>45</v>
      </c>
      <c r="C3" s="67"/>
      <c r="D3" s="67"/>
      <c r="E3" s="67"/>
      <c r="F3" s="67"/>
      <c r="G3" s="67"/>
      <c r="H3" s="67"/>
      <c r="I3" s="67"/>
      <c r="J3" s="67"/>
      <c r="K3" s="67"/>
      <c r="L3" s="67"/>
      <c r="M3" s="67"/>
    </row>
    <row r="4" spans="2:13">
      <c r="B4" s="6" t="s">
        <v>1</v>
      </c>
      <c r="C4" s="6" t="s">
        <v>0</v>
      </c>
      <c r="D4" s="6" t="s">
        <v>3</v>
      </c>
      <c r="E4" s="6" t="s">
        <v>149</v>
      </c>
      <c r="F4" s="6" t="s">
        <v>150</v>
      </c>
      <c r="G4" s="6" t="s">
        <v>151</v>
      </c>
      <c r="H4" s="6" t="s">
        <v>152</v>
      </c>
      <c r="I4" s="6" t="s">
        <v>153</v>
      </c>
      <c r="J4" s="6" t="s">
        <v>154</v>
      </c>
      <c r="K4" s="6" t="s">
        <v>155</v>
      </c>
      <c r="L4" s="6" t="s">
        <v>156</v>
      </c>
      <c r="M4" s="6" t="s">
        <v>17</v>
      </c>
    </row>
    <row r="5" spans="2:13">
      <c r="B5" t="b">
        <v>1</v>
      </c>
      <c r="C5" t="s">
        <v>160</v>
      </c>
      <c r="D5" t="s">
        <v>161</v>
      </c>
      <c r="E5">
        <v>15</v>
      </c>
      <c r="M5">
        <v>1</v>
      </c>
    </row>
    <row r="6" spans="2:13">
      <c r="B6" t="b">
        <v>1</v>
      </c>
      <c r="C6" t="s">
        <v>171</v>
      </c>
      <c r="D6" t="s">
        <v>172</v>
      </c>
      <c r="E6">
        <v>15</v>
      </c>
      <c r="M6">
        <v>2</v>
      </c>
    </row>
    <row r="7" spans="2:13">
      <c r="B7" t="b">
        <v>1</v>
      </c>
      <c r="C7" t="s">
        <v>173</v>
      </c>
      <c r="D7" t="s">
        <v>174</v>
      </c>
      <c r="E7">
        <v>15</v>
      </c>
      <c r="M7">
        <v>3</v>
      </c>
    </row>
    <row r="8" spans="2:13">
      <c r="B8" t="b">
        <v>1</v>
      </c>
      <c r="C8" t="s">
        <v>175</v>
      </c>
      <c r="D8" t="s">
        <v>176</v>
      </c>
      <c r="E8">
        <v>15</v>
      </c>
      <c r="M8">
        <v>4</v>
      </c>
    </row>
    <row r="9" spans="2:13">
      <c r="B9" t="b">
        <v>1</v>
      </c>
      <c r="C9" t="s">
        <v>177</v>
      </c>
      <c r="D9" t="s">
        <v>178</v>
      </c>
      <c r="E9">
        <v>15</v>
      </c>
      <c r="M9">
        <v>5</v>
      </c>
    </row>
    <row r="10" spans="2:13">
      <c r="B10" t="b">
        <v>1</v>
      </c>
      <c r="C10" t="s">
        <v>179</v>
      </c>
      <c r="D10" t="s">
        <v>180</v>
      </c>
      <c r="E10">
        <v>15</v>
      </c>
      <c r="M10">
        <v>6</v>
      </c>
    </row>
    <row r="11" spans="2:13">
      <c r="B11" t="b">
        <v>1</v>
      </c>
      <c r="C11" t="s">
        <v>181</v>
      </c>
      <c r="D11" t="s">
        <v>182</v>
      </c>
      <c r="E11">
        <v>15</v>
      </c>
      <c r="M11">
        <v>7</v>
      </c>
    </row>
    <row r="12" spans="2:13">
      <c r="B12" t="b">
        <v>1</v>
      </c>
      <c r="C12" t="s">
        <v>183</v>
      </c>
      <c r="D12" t="s">
        <v>184</v>
      </c>
      <c r="E12">
        <v>15</v>
      </c>
      <c r="M12">
        <v>8</v>
      </c>
    </row>
    <row r="13" spans="2:13">
      <c r="B13" t="b">
        <v>1</v>
      </c>
      <c r="C13" t="s">
        <v>56</v>
      </c>
      <c r="D13" t="s">
        <v>185</v>
      </c>
      <c r="E13">
        <v>15</v>
      </c>
      <c r="M13">
        <v>9</v>
      </c>
    </row>
    <row r="14" spans="2:13">
      <c r="B14" t="b">
        <v>1</v>
      </c>
      <c r="C14" t="s">
        <v>186</v>
      </c>
      <c r="D14" t="s">
        <v>187</v>
      </c>
      <c r="E14">
        <v>15</v>
      </c>
      <c r="M14">
        <v>10</v>
      </c>
    </row>
    <row r="15" spans="2:13">
      <c r="B15" t="b">
        <v>1</v>
      </c>
      <c r="C15" t="s">
        <v>188</v>
      </c>
      <c r="D15" t="s">
        <v>189</v>
      </c>
      <c r="M15">
        <v>11</v>
      </c>
    </row>
    <row r="16" spans="2:13">
      <c r="B16" t="b">
        <v>1</v>
      </c>
      <c r="C16" t="s">
        <v>33</v>
      </c>
      <c r="D16" t="s">
        <v>190</v>
      </c>
      <c r="M16">
        <v>12</v>
      </c>
    </row>
    <row r="17" spans="2:13">
      <c r="B17" t="b">
        <v>1</v>
      </c>
      <c r="C17" t="s">
        <v>140</v>
      </c>
      <c r="D17" t="s">
        <v>140</v>
      </c>
      <c r="E17">
        <v>14</v>
      </c>
      <c r="M17">
        <v>14</v>
      </c>
    </row>
    <row r="18" spans="2:13">
      <c r="B18" t="b">
        <v>1</v>
      </c>
      <c r="C18" t="s">
        <v>191</v>
      </c>
      <c r="D18" t="s">
        <v>192</v>
      </c>
      <c r="E18">
        <v>15</v>
      </c>
      <c r="M18">
        <v>15</v>
      </c>
    </row>
    <row r="19" spans="2:13">
      <c r="B19" t="b">
        <v>1</v>
      </c>
      <c r="C19" t="s">
        <v>166</v>
      </c>
      <c r="D19" t="s">
        <v>193</v>
      </c>
      <c r="E19">
        <v>14</v>
      </c>
      <c r="M19">
        <v>16</v>
      </c>
    </row>
    <row r="20" spans="2:13">
      <c r="B20" t="b">
        <v>1</v>
      </c>
      <c r="C20" t="s">
        <v>163</v>
      </c>
      <c r="D20" t="s">
        <v>194</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8" tint="0.39997558519241921"/>
  </sheetPr>
  <dimension ref="B3:G8"/>
  <sheetViews>
    <sheetView workbookViewId="0">
      <selection activeCell="L37" sqref="L37"/>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66" t="s">
        <v>159</v>
      </c>
      <c r="C3" s="67"/>
      <c r="D3" s="67"/>
      <c r="E3" s="67"/>
      <c r="F3" s="67"/>
      <c r="G3" s="67"/>
    </row>
    <row r="4" spans="2:7">
      <c r="B4" s="6" t="s">
        <v>0</v>
      </c>
      <c r="C4" s="6" t="s">
        <v>1</v>
      </c>
      <c r="D4" s="6" t="s">
        <v>3</v>
      </c>
      <c r="E4" s="18" t="s">
        <v>17</v>
      </c>
    </row>
    <row r="5" spans="2:7">
      <c r="B5" t="s">
        <v>195</v>
      </c>
      <c r="C5" t="b">
        <v>1</v>
      </c>
      <c r="D5" t="s">
        <v>195</v>
      </c>
      <c r="E5">
        <v>12</v>
      </c>
    </row>
    <row r="6" spans="2:7">
      <c r="B6" t="s">
        <v>196</v>
      </c>
      <c r="C6" t="b">
        <v>1</v>
      </c>
      <c r="D6" t="s">
        <v>196</v>
      </c>
      <c r="E6">
        <v>13</v>
      </c>
    </row>
    <row r="7" spans="2:7">
      <c r="B7" t="s">
        <v>197</v>
      </c>
      <c r="C7" t="b">
        <v>1</v>
      </c>
      <c r="D7" t="s">
        <v>197</v>
      </c>
      <c r="E7">
        <v>14</v>
      </c>
    </row>
    <row r="8" spans="2:7">
      <c r="B8" t="s">
        <v>198</v>
      </c>
      <c r="C8" t="b">
        <v>1</v>
      </c>
      <c r="D8" t="s">
        <v>198</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Model_Panel" label="Model Panel" autoScale="true">
          <button id="ModelSingleRun" label="Run Optimiz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Props1.xml><?xml version="1.0" encoding="utf-8"?>
<ds:datastoreItem xmlns:ds="http://schemas.openxmlformats.org/officeDocument/2006/customXml" ds:itemID="{5F9FDD19-2E04-438C-B723-FF64C3DD2090}">
  <ds:schemaRefs>
    <ds:schemaRef ds:uri="http://purl.org/dc/terms/"/>
    <ds:schemaRef ds:uri="http://schemas.openxmlformats.org/package/2006/metadata/core-properties"/>
    <ds:schemaRef ds:uri="a8a573e9-1888-436c-b0b5-4345c55255eb"/>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4.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5.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6.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7.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8.xml><?xml version="1.0" encoding="utf-8"?>
<ds:datastoreItem xmlns:ds="http://schemas.openxmlformats.org/officeDocument/2006/customXml" ds:itemID="{29DD5B39-36C2-4205-AEBA-9B2D7321473D}">
  <ds:schemaRefs>
    <ds:schemaRef ds:uri="http://gemini/pivotcustomization/SandboxNonEmpt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Stream to Experiment</vt:lpstr>
      <vt:lpstr>Product Costs</vt:lpstr>
      <vt:lpstr>Nominations</vt:lpstr>
      <vt:lpstr>Stream Out Constraints</vt:lpstr>
      <vt:lpstr>Tariff</vt:lpstr>
      <vt:lpstr>Site Out Constraints</vt:lpstr>
      <vt:lpstr>Supply-Stream Out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'Product Costs'!Print_Area</vt:lpstr>
      <vt:lpstr>'Product Types'!Print_Area</vt:lpstr>
      <vt:lpstr>Shippers!Print_Area</vt:lpstr>
      <vt:lpstr>'Site Out Constraints'!Print_Area</vt:lpstr>
      <vt:lpstr>Sites!Print_Area</vt:lpstr>
      <vt:lpstr>'Stream Out Constraints'!Print_Area</vt:lpstr>
      <vt:lpstr>'Stream to Experiment'!Print_Area</vt:lpstr>
      <vt:lpstr>Streams!Print_Area</vt:lpstr>
      <vt:lpstr>'Supply-Stream Out Constraints'!Print_Area</vt:lpstr>
      <vt:lpstr>'System Tables'!Print_Area</vt:lpstr>
      <vt:lpstr>Tariff!Print_Area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2017-07-27T20:30:04Z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