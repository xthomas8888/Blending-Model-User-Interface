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drawings/drawing14.xml" ContentType="application/vnd.openxmlformats-officedocument.drawing+xml"/>
  <Override PartName="/xl/tables/table14.xml" ContentType="application/vnd.openxmlformats-officedocument.spreadsheetml.table+xml"/>
  <Override PartName="/xl/slicers/slicer1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5.xml" ContentType="application/vnd.openxmlformats-officedocument.drawing+xml"/>
  <Override PartName="/xl/tables/table15.xml" ContentType="application/vnd.openxmlformats-officedocument.spreadsheetml.table+xml"/>
  <Override PartName="/xl/slicers/slicer15.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activeTab="1"/>
  </bookViews>
  <sheets>
    <sheet name="Main" sheetId="14" r:id="rId1"/>
    <sheet name="Shippers" sheetId="37" r:id="rId2"/>
    <sheet name="Sites" sheetId="38" r:id="rId3"/>
    <sheet name="Jurisdictions" sheetId="39" r:id="rId4"/>
    <sheet name="Companies" sheetId="46" r:id="rId5"/>
    <sheet name="Facility Type" sheetId="41" r:id="rId6"/>
    <sheet name="Facilities" sheetId="44" r:id="rId7"/>
    <sheet name="Facility Schedule" sheetId="42" r:id="rId8"/>
    <sheet name="Tax Events" sheetId="36" r:id="rId9"/>
    <sheet name="Credit Events" sheetId="45" r:id="rId10"/>
    <sheet name="Facility Dependencies" sheetId="43" r:id="rId11"/>
    <sheet name="Variables" sheetId="33" r:id="rId12"/>
    <sheet name="Batch Sources" sheetId="32" r:id="rId13"/>
    <sheet name="Batch Source Details" sheetId="31" r:id="rId14"/>
    <sheet name="Batch Source Curve Details" sheetId="35" r:id="rId15"/>
    <sheet name="System Tables" sheetId="16" r:id="rId16"/>
  </sheets>
  <functionGroups builtInGroupCount="18"/>
  <definedNames>
    <definedName name="_xlnm.Print_Area" localSheetId="14">'Batch Source Curve Details'!$B$4:$J$33</definedName>
    <definedName name="_xlnm.Print_Area" localSheetId="13">'Batch Source Details'!$B$4:$J$43</definedName>
    <definedName name="_xlnm.Print_Area" localSheetId="12">'Batch Sources'!$B$4:$O$5</definedName>
    <definedName name="_xlnm.Print_Area" localSheetId="4">Companies!$B$4:$T$38</definedName>
    <definedName name="_xlnm.Print_Area" localSheetId="9">'Credit Events'!$B$4:$V$61</definedName>
    <definedName name="_xlnm.Print_Area" localSheetId="6">Facilities!$B$4:$R$120</definedName>
    <definedName name="_xlnm.Print_Area" localSheetId="10">'Facility Dependencies'!$B$4:$L$12</definedName>
    <definedName name="_xlnm.Print_Area" localSheetId="7">'Facility Schedule'!$B$4:$L$309</definedName>
    <definedName name="_xlnm.Print_Area" localSheetId="5">'Facility Type'!$B$4:$H$35</definedName>
    <definedName name="_xlnm.Print_Area" localSheetId="3">Jurisdictions!$B$4:$L$109</definedName>
    <definedName name="_xlnm.Print_Area" localSheetId="0">Main!$B$8:$O$18</definedName>
    <definedName name="_xlnm.Print_Area" localSheetId="1">Shippers!$B$4:$G$52</definedName>
    <definedName name="_xlnm.Print_Area" localSheetId="2">Sites!$B$4:$I$70</definedName>
    <definedName name="_xlnm.Print_Area" localSheetId="15">'System Tables'!$B:$F</definedName>
    <definedName name="_xlnm.Print_Area" localSheetId="8">'Tax Events'!$B$4:$U$84</definedName>
    <definedName name="_xlnm.Print_Area" localSheetId="11">Variables!$B$4:$J$5</definedName>
    <definedName name="Slicer_Active">#N/A</definedName>
    <definedName name="Slicer_Active711">#N/A</definedName>
    <definedName name="Slicer_Active7111">#N/A</definedName>
    <definedName name="Slicer_Active71111">#N/A</definedName>
    <definedName name="Slicer_Active711111">#N/A</definedName>
    <definedName name="Slicer_Active7111111">#N/A</definedName>
    <definedName name="Slicer_Active71111111">#N/A</definedName>
    <definedName name="Slicer_Active711111111">#N/A</definedName>
    <definedName name="Slicer_Active71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12">#N/A</definedName>
    <definedName name="Slicer_Active71112">#N/A</definedName>
    <definedName name="Slicer_Batch_Source_ID">#N/A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2" i="37" l="1"/>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18" i="14"/>
  <c r="B17" i="14"/>
  <c r="B16" i="14"/>
  <c r="B15" i="14"/>
  <c r="B14" i="14"/>
  <c r="B13" i="14"/>
  <c r="B12" i="14"/>
  <c r="B11" i="14"/>
  <c r="B10" i="14"/>
  <c r="B9" i="14"/>
  <c r="B35" i="41" l="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B5" i="41"/>
  <c r="B309" i="42"/>
  <c r="B308" i="42"/>
  <c r="B307" i="42"/>
  <c r="B306" i="42"/>
  <c r="B305" i="42"/>
  <c r="B304" i="42"/>
  <c r="B303" i="42"/>
  <c r="B302" i="42"/>
  <c r="B301" i="42"/>
  <c r="B300" i="42"/>
  <c r="B299" i="42"/>
  <c r="B298" i="42"/>
  <c r="B297" i="42"/>
  <c r="B296" i="42"/>
  <c r="B295" i="42"/>
  <c r="B294" i="42"/>
  <c r="B293" i="42"/>
  <c r="B292" i="42"/>
  <c r="B291" i="42"/>
  <c r="B290" i="42"/>
  <c r="B289" i="42"/>
  <c r="B288" i="42"/>
  <c r="B287" i="42"/>
  <c r="B286" i="42"/>
  <c r="B285" i="42"/>
  <c r="B284" i="42"/>
  <c r="B283" i="42"/>
  <c r="B282" i="42"/>
  <c r="B281" i="42"/>
  <c r="B280" i="42"/>
  <c r="B279" i="42"/>
  <c r="B278" i="42"/>
  <c r="B277" i="42"/>
  <c r="B276" i="42"/>
  <c r="B275" i="42"/>
  <c r="B274" i="42"/>
  <c r="B273" i="42"/>
  <c r="B272" i="42"/>
  <c r="B271" i="42"/>
  <c r="B270" i="42"/>
  <c r="B269" i="42"/>
  <c r="B268" i="42"/>
  <c r="B267" i="42"/>
  <c r="B266" i="42"/>
  <c r="B265" i="42"/>
  <c r="B264" i="42"/>
  <c r="B263" i="42"/>
  <c r="B262" i="42"/>
  <c r="B261" i="42"/>
  <c r="B260" i="42"/>
  <c r="B259" i="42"/>
  <c r="B258" i="42"/>
  <c r="B257" i="42"/>
  <c r="B256" i="42"/>
  <c r="B255" i="42"/>
  <c r="B254" i="42"/>
  <c r="B253" i="42"/>
  <c r="B252" i="42"/>
  <c r="B251" i="42"/>
  <c r="B250" i="42"/>
  <c r="B249" i="42"/>
  <c r="B248" i="42"/>
  <c r="B247" i="42"/>
  <c r="B246" i="42"/>
  <c r="B245" i="42"/>
  <c r="B244" i="42"/>
  <c r="B243" i="42"/>
  <c r="B242" i="42"/>
  <c r="B241" i="42"/>
  <c r="B240" i="42"/>
  <c r="B239" i="42"/>
  <c r="B238" i="42"/>
  <c r="B237" i="42"/>
  <c r="B236" i="42"/>
  <c r="B235" i="42"/>
  <c r="B234" i="42"/>
  <c r="B233" i="42"/>
  <c r="B232" i="42"/>
  <c r="B231" i="42"/>
  <c r="B230" i="42"/>
  <c r="B229" i="42"/>
  <c r="B228" i="42"/>
  <c r="B227" i="42"/>
  <c r="B226" i="42"/>
  <c r="B225" i="42"/>
  <c r="B224" i="42"/>
  <c r="B223" i="42"/>
  <c r="B222" i="42"/>
  <c r="B221" i="42"/>
  <c r="B220" i="42"/>
  <c r="B219" i="42"/>
  <c r="B218" i="42"/>
  <c r="B217" i="42"/>
  <c r="B216" i="42"/>
  <c r="B215" i="42"/>
  <c r="B214" i="42"/>
  <c r="B213" i="42"/>
  <c r="B212" i="42"/>
  <c r="B211" i="42"/>
  <c r="B210" i="42"/>
  <c r="B209" i="42"/>
  <c r="B208" i="42"/>
  <c r="B207" i="42"/>
  <c r="B206" i="42"/>
  <c r="B205" i="42"/>
  <c r="B204" i="42"/>
  <c r="B203" i="42"/>
  <c r="B202" i="42"/>
  <c r="B201" i="42"/>
  <c r="B200" i="42"/>
  <c r="B199" i="42"/>
  <c r="B198" i="42"/>
  <c r="B197" i="42"/>
  <c r="B196" i="42"/>
  <c r="B195" i="42"/>
  <c r="B194" i="42"/>
  <c r="B193" i="42"/>
  <c r="B192" i="42"/>
  <c r="B191" i="42"/>
  <c r="B190" i="42"/>
  <c r="B189" i="42"/>
  <c r="B188" i="42"/>
  <c r="B187" i="42"/>
  <c r="B186" i="42"/>
  <c r="B185" i="42"/>
  <c r="B184" i="42"/>
  <c r="B183" i="42"/>
  <c r="B182" i="42"/>
  <c r="B181" i="42"/>
  <c r="B180" i="42"/>
  <c r="B179" i="42"/>
  <c r="B178" i="42"/>
  <c r="B177" i="42"/>
  <c r="B176" i="42"/>
  <c r="B175" i="42"/>
  <c r="B174" i="42"/>
  <c r="B173" i="42"/>
  <c r="B172" i="42"/>
  <c r="B171" i="42"/>
  <c r="B170" i="42"/>
  <c r="B169" i="42"/>
  <c r="B168" i="42"/>
  <c r="B167" i="42"/>
  <c r="B166" i="42"/>
  <c r="B165" i="42"/>
  <c r="B164" i="42"/>
  <c r="B163" i="42"/>
  <c r="B162" i="42"/>
  <c r="B161" i="42"/>
  <c r="B160" i="42"/>
  <c r="B159" i="42"/>
  <c r="B158" i="42"/>
  <c r="B157" i="42"/>
  <c r="B156" i="42"/>
  <c r="B155" i="42"/>
  <c r="B154" i="42"/>
  <c r="B153" i="42"/>
  <c r="B152" i="42"/>
  <c r="B151" i="42"/>
  <c r="B150" i="42"/>
  <c r="B149" i="42"/>
  <c r="B148" i="42"/>
  <c r="B147" i="42"/>
  <c r="B146" i="42"/>
  <c r="B145" i="42"/>
  <c r="B144" i="42"/>
  <c r="B143" i="42"/>
  <c r="B142" i="42"/>
  <c r="B141" i="42"/>
  <c r="B140" i="42"/>
  <c r="B139" i="42"/>
  <c r="B138" i="42"/>
  <c r="B137" i="42"/>
  <c r="B136" i="42"/>
  <c r="B135" i="42"/>
  <c r="B134" i="42"/>
  <c r="B133" i="42"/>
  <c r="B132" i="42"/>
  <c r="B131" i="42"/>
  <c r="B130" i="42"/>
  <c r="B129" i="42"/>
  <c r="B128" i="42"/>
  <c r="B127" i="42"/>
  <c r="B126" i="42"/>
  <c r="B125" i="42"/>
  <c r="B124" i="42"/>
  <c r="B123" i="42"/>
  <c r="B122" i="42"/>
  <c r="B121" i="42"/>
  <c r="B120" i="42"/>
  <c r="B119" i="42"/>
  <c r="B118" i="42"/>
  <c r="B117" i="42"/>
  <c r="B116" i="42"/>
  <c r="B115" i="42"/>
  <c r="B114" i="42"/>
  <c r="B113" i="42"/>
  <c r="B112" i="42"/>
  <c r="B111" i="42"/>
  <c r="B110" i="42"/>
  <c r="B109" i="42"/>
  <c r="B108" i="42"/>
  <c r="B107" i="42"/>
  <c r="B106" i="42"/>
  <c r="B105" i="42"/>
  <c r="B104" i="42"/>
  <c r="B103" i="42"/>
  <c r="B102" i="42"/>
  <c r="B101" i="42"/>
  <c r="B100" i="42"/>
  <c r="B99" i="42"/>
  <c r="B98" i="42"/>
  <c r="B97" i="42"/>
  <c r="B96" i="42"/>
  <c r="B95" i="42"/>
  <c r="B94" i="42"/>
  <c r="B93" i="42"/>
  <c r="B92" i="42"/>
  <c r="B91" i="42"/>
  <c r="B90" i="42"/>
  <c r="B89" i="42"/>
  <c r="B88" i="42"/>
  <c r="B87" i="42"/>
  <c r="B86" i="42"/>
  <c r="B85" i="42"/>
  <c r="B84" i="42"/>
  <c r="B83" i="42"/>
  <c r="B82" i="42"/>
  <c r="B81" i="42"/>
  <c r="B80" i="42"/>
  <c r="B79" i="42"/>
  <c r="B78" i="42"/>
  <c r="B77" i="42"/>
  <c r="B76" i="42"/>
  <c r="B75" i="42"/>
  <c r="B74" i="42"/>
  <c r="B73" i="42"/>
  <c r="B72" i="42"/>
  <c r="B71" i="42"/>
  <c r="B70" i="42"/>
  <c r="B69" i="42"/>
  <c r="B68" i="42"/>
  <c r="B67" i="42"/>
  <c r="B66" i="42"/>
  <c r="B65" i="42"/>
  <c r="B64" i="42"/>
  <c r="B63" i="42"/>
  <c r="B62" i="42"/>
  <c r="B61" i="42"/>
  <c r="B60" i="42"/>
  <c r="B59" i="42"/>
  <c r="B58" i="42"/>
  <c r="B57" i="42"/>
  <c r="B56" i="42"/>
  <c r="B55" i="42"/>
  <c r="B54" i="42"/>
  <c r="B53" i="42"/>
  <c r="B52" i="42"/>
  <c r="B51" i="42"/>
  <c r="B50" i="42"/>
  <c r="B49" i="42"/>
  <c r="B48" i="42"/>
  <c r="B47" i="42"/>
  <c r="B46" i="42"/>
  <c r="B45" i="42"/>
  <c r="B44" i="42"/>
  <c r="B43" i="42"/>
  <c r="B42" i="42"/>
  <c r="B41" i="42"/>
  <c r="B40" i="42"/>
  <c r="B39" i="42"/>
  <c r="B38" i="42"/>
  <c r="B37" i="42"/>
  <c r="B36" i="42"/>
  <c r="B35" i="42"/>
  <c r="B34" i="42"/>
  <c r="B33" i="42"/>
  <c r="B32" i="42"/>
  <c r="B31" i="42"/>
  <c r="B30" i="42"/>
  <c r="B29" i="42"/>
  <c r="B28" i="42"/>
  <c r="B27" i="42"/>
  <c r="B26" i="42"/>
  <c r="B25" i="42"/>
  <c r="B24" i="42"/>
  <c r="B23" i="42"/>
  <c r="B22" i="42"/>
  <c r="B21" i="42"/>
  <c r="B20" i="42"/>
  <c r="B19" i="42"/>
  <c r="B18" i="42"/>
  <c r="B17" i="42"/>
  <c r="B16" i="42"/>
  <c r="B15" i="42"/>
  <c r="B14" i="42"/>
  <c r="B13" i="42"/>
  <c r="B12" i="42"/>
  <c r="B11" i="42"/>
  <c r="B10" i="42"/>
  <c r="B9" i="42"/>
  <c r="B8" i="42"/>
  <c r="B7" i="42"/>
  <c r="B6" i="42"/>
  <c r="B5" i="42"/>
  <c r="B12" i="43"/>
  <c r="B11" i="43"/>
  <c r="B10" i="43"/>
  <c r="B9" i="43"/>
  <c r="B8" i="43"/>
  <c r="B7" i="43"/>
  <c r="B6" i="43"/>
  <c r="B5" i="43"/>
  <c r="B120" i="44"/>
  <c r="B119" i="44"/>
  <c r="B118" i="44"/>
  <c r="B117" i="44"/>
  <c r="B116" i="44"/>
  <c r="B115" i="44"/>
  <c r="B114" i="44"/>
  <c r="B113" i="44"/>
  <c r="B112" i="44"/>
  <c r="B111" i="44"/>
  <c r="B110" i="44"/>
  <c r="B109" i="44"/>
  <c r="B108" i="44"/>
  <c r="B107" i="44"/>
  <c r="B106" i="44"/>
  <c r="B105" i="44"/>
  <c r="B104" i="44"/>
  <c r="B103" i="44"/>
  <c r="B102" i="44"/>
  <c r="B101" i="44"/>
  <c r="B100" i="44"/>
  <c r="B99" i="44"/>
  <c r="B98" i="44"/>
  <c r="B97" i="44"/>
  <c r="B96" i="44"/>
  <c r="B95" i="44"/>
  <c r="B94" i="44"/>
  <c r="B93" i="44"/>
  <c r="B92" i="44"/>
  <c r="B91" i="44"/>
  <c r="B90" i="44"/>
  <c r="B89" i="44"/>
  <c r="B88" i="44"/>
  <c r="B87" i="44"/>
  <c r="B86" i="44"/>
  <c r="B85" i="44"/>
  <c r="B84" i="44"/>
  <c r="B83" i="44"/>
  <c r="B82" i="44"/>
  <c r="B81" i="44"/>
  <c r="B80" i="44"/>
  <c r="B79" i="44"/>
  <c r="B78" i="44"/>
  <c r="B77" i="44"/>
  <c r="B76" i="44"/>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38" i="46"/>
  <c r="B37" i="46"/>
  <c r="B36" i="46"/>
  <c r="B35" i="46"/>
  <c r="B34" i="46"/>
  <c r="B33" i="46"/>
  <c r="B32" i="46"/>
  <c r="B31" i="46"/>
  <c r="B30" i="46"/>
  <c r="B29" i="46"/>
  <c r="B28" i="46"/>
  <c r="B27" i="46"/>
  <c r="B26" i="46"/>
  <c r="B25" i="46"/>
  <c r="B24" i="46"/>
  <c r="B23" i="46"/>
  <c r="B22" i="46"/>
  <c r="B21" i="46"/>
  <c r="B20" i="46"/>
  <c r="B19" i="46"/>
  <c r="B18" i="46"/>
  <c r="B17" i="46"/>
  <c r="B16" i="46"/>
  <c r="B15" i="46"/>
  <c r="B14" i="46"/>
  <c r="B13" i="46"/>
  <c r="B12" i="46"/>
  <c r="B11" i="46"/>
  <c r="B10" i="46"/>
  <c r="B9" i="46"/>
  <c r="B8" i="46"/>
  <c r="B7" i="46"/>
  <c r="B6" i="46"/>
  <c r="B5" i="46"/>
  <c r="B109" i="39"/>
  <c r="B108" i="39"/>
  <c r="B107" i="39"/>
  <c r="B106" i="39"/>
  <c r="B105" i="39"/>
  <c r="B104" i="39"/>
  <c r="B103" i="39"/>
  <c r="B102" i="39"/>
  <c r="B101" i="39"/>
  <c r="B100" i="39"/>
  <c r="B99" i="39"/>
  <c r="B98" i="39"/>
  <c r="B97" i="39"/>
  <c r="B96" i="39"/>
  <c r="B95" i="39"/>
  <c r="B94" i="39"/>
  <c r="B93" i="39"/>
  <c r="B92" i="39"/>
  <c r="B91" i="39"/>
  <c r="B90" i="39"/>
  <c r="B89" i="39"/>
  <c r="B88" i="39"/>
  <c r="B87" i="39"/>
  <c r="B86" i="39"/>
  <c r="B85" i="39"/>
  <c r="B84" i="39"/>
  <c r="B83" i="39"/>
  <c r="B82" i="39"/>
  <c r="B81" i="39"/>
  <c r="B80" i="39"/>
  <c r="B79" i="39"/>
  <c r="B78" i="39"/>
  <c r="B77" i="39"/>
  <c r="B76" i="39"/>
  <c r="B75" i="39"/>
  <c r="B74" i="39"/>
  <c r="B73" i="39"/>
  <c r="B72" i="39"/>
  <c r="B71" i="39"/>
  <c r="B70" i="39"/>
  <c r="B69" i="39"/>
  <c r="B68" i="39"/>
  <c r="B67" i="39"/>
  <c r="B66" i="39"/>
  <c r="B65" i="39"/>
  <c r="B64" i="39"/>
  <c r="B63" i="39"/>
  <c r="B62" i="39"/>
  <c r="B61" i="39"/>
  <c r="B60" i="39"/>
  <c r="B59" i="39"/>
  <c r="B58" i="39"/>
  <c r="B57" i="39"/>
  <c r="B56" i="39"/>
  <c r="B55" i="39"/>
  <c r="B54" i="39"/>
  <c r="B53" i="39"/>
  <c r="B52" i="39"/>
  <c r="B51" i="39"/>
  <c r="B50" i="39"/>
  <c r="B49" i="39"/>
  <c r="B48" i="39"/>
  <c r="B47" i="39"/>
  <c r="B46" i="39"/>
  <c r="B45" i="39"/>
  <c r="B44" i="39"/>
  <c r="B43" i="39"/>
  <c r="B42" i="39"/>
  <c r="B41" i="39"/>
  <c r="B40" i="39"/>
  <c r="B39" i="39"/>
  <c r="B38" i="39"/>
  <c r="B37" i="39"/>
  <c r="B36" i="39"/>
  <c r="B35" i="39"/>
  <c r="B34" i="39"/>
  <c r="B33" i="39"/>
  <c r="B32" i="39"/>
  <c r="B31" i="39"/>
  <c r="B30" i="39"/>
  <c r="B29" i="39"/>
  <c r="B28" i="39"/>
  <c r="B27" i="39"/>
  <c r="B26" i="39"/>
  <c r="B25" i="39"/>
  <c r="B24" i="39"/>
  <c r="B23" i="39"/>
  <c r="B22" i="39"/>
  <c r="B21" i="39"/>
  <c r="B20" i="39"/>
  <c r="B19" i="39"/>
  <c r="B18" i="39"/>
  <c r="B17" i="39"/>
  <c r="B16" i="39"/>
  <c r="B15" i="39"/>
  <c r="B14" i="39"/>
  <c r="B13" i="39"/>
  <c r="B12" i="39"/>
  <c r="B11" i="39"/>
  <c r="B10" i="39"/>
  <c r="B9" i="39"/>
  <c r="B8" i="39"/>
  <c r="B7" i="39"/>
  <c r="B6" i="39"/>
  <c r="B5" i="39"/>
  <c r="B70" i="38"/>
  <c r="B69" i="38"/>
  <c r="B68" i="38"/>
  <c r="B67" i="38"/>
  <c r="B66" i="38"/>
  <c r="B65" i="38"/>
  <c r="B64" i="38"/>
  <c r="B63" i="38"/>
  <c r="B62" i="38"/>
  <c r="B61" i="38"/>
  <c r="B60" i="38"/>
  <c r="B59" i="38"/>
  <c r="B58" i="38"/>
  <c r="B57" i="38"/>
  <c r="B56" i="38"/>
  <c r="B55" i="38"/>
  <c r="B54" i="38"/>
  <c r="B53" i="38"/>
  <c r="B52" i="38"/>
  <c r="B51" i="38"/>
  <c r="B50" i="38"/>
  <c r="B49" i="38"/>
  <c r="B48" i="38"/>
  <c r="B47" i="38"/>
  <c r="B46" i="38"/>
  <c r="B45" i="38"/>
  <c r="B44" i="38"/>
  <c r="B43" i="38"/>
  <c r="B42" i="38"/>
  <c r="B41" i="38"/>
  <c r="B40" i="38"/>
  <c r="B39" i="38"/>
  <c r="B38" i="38"/>
  <c r="B37" i="38"/>
  <c r="B36" i="38"/>
  <c r="B35" i="38"/>
  <c r="B34" i="38"/>
  <c r="B33" i="38"/>
  <c r="B32" i="38"/>
  <c r="B31" i="38"/>
  <c r="B30" i="38"/>
  <c r="B29" i="38"/>
  <c r="B28" i="38"/>
  <c r="B27" i="38"/>
  <c r="B26" i="38"/>
  <c r="B25" i="38"/>
  <c r="B24" i="38"/>
  <c r="B23" i="38"/>
  <c r="B22" i="38"/>
  <c r="B21" i="38"/>
  <c r="B20" i="38"/>
  <c r="B19" i="38"/>
  <c r="B18" i="38"/>
  <c r="B17" i="38"/>
  <c r="B16" i="38"/>
  <c r="B15" i="38"/>
  <c r="B14" i="38"/>
  <c r="B13" i="38"/>
  <c r="B12" i="38"/>
  <c r="B11" i="38"/>
  <c r="B10" i="38"/>
  <c r="B9" i="38"/>
  <c r="B8" i="38"/>
  <c r="B7" i="38"/>
  <c r="B6" i="38"/>
  <c r="B5" i="38"/>
  <c r="B61" i="45"/>
  <c r="B60" i="45"/>
  <c r="B59" i="45"/>
  <c r="B58" i="45"/>
  <c r="B57" i="45"/>
  <c r="B56" i="45"/>
  <c r="B55" i="45"/>
  <c r="B54" i="45"/>
  <c r="B53" i="45"/>
  <c r="B52" i="45"/>
  <c r="B51" i="45"/>
  <c r="B50" i="45"/>
  <c r="B49" i="45"/>
  <c r="B48" i="45"/>
  <c r="B47" i="45"/>
  <c r="B46" i="45"/>
  <c r="B45" i="45"/>
  <c r="B44" i="45"/>
  <c r="B43" i="45"/>
  <c r="B42" i="45"/>
  <c r="B41" i="45"/>
  <c r="B40" i="45"/>
  <c r="B39" i="45"/>
  <c r="B38" i="45"/>
  <c r="B37" i="45"/>
  <c r="B36" i="45"/>
  <c r="B35" i="45"/>
  <c r="B34" i="45"/>
  <c r="B33" i="45"/>
  <c r="B32" i="45"/>
  <c r="B31" i="45"/>
  <c r="B30" i="45"/>
  <c r="B29" i="45"/>
  <c r="B28" i="45"/>
  <c r="B27" i="45"/>
  <c r="B26" i="45"/>
  <c r="B25" i="45"/>
  <c r="B24" i="45"/>
  <c r="B23" i="45"/>
  <c r="B22" i="45"/>
  <c r="B21" i="45"/>
  <c r="B20" i="45"/>
  <c r="B19" i="45"/>
  <c r="B18" i="45"/>
  <c r="B17" i="45"/>
  <c r="B16" i="45"/>
  <c r="B15" i="45"/>
  <c r="B14" i="45"/>
  <c r="B13" i="45"/>
  <c r="B12" i="45"/>
  <c r="B11" i="45"/>
  <c r="B10" i="45"/>
  <c r="B9" i="45"/>
  <c r="B8" i="45"/>
  <c r="B7" i="45"/>
  <c r="B6" i="45"/>
  <c r="B5" i="45"/>
  <c r="B84" i="36"/>
  <c r="B83" i="36"/>
  <c r="B82" i="36"/>
  <c r="B81" i="36"/>
  <c r="B80" i="36"/>
  <c r="B79" i="36"/>
  <c r="B78" i="36"/>
  <c r="B77" i="36"/>
  <c r="B76" i="36"/>
  <c r="B75" i="36"/>
  <c r="B74" i="36"/>
  <c r="B73" i="36"/>
  <c r="B72" i="36"/>
  <c r="B71" i="36"/>
  <c r="B70" i="36"/>
  <c r="B69" i="36"/>
  <c r="B68" i="36"/>
  <c r="B67" i="36"/>
  <c r="B66" i="36"/>
  <c r="B65" i="36"/>
  <c r="B64" i="36"/>
  <c r="B63" i="36"/>
  <c r="B62" i="36"/>
  <c r="B61" i="36"/>
  <c r="B60" i="36"/>
  <c r="B59" i="36"/>
  <c r="B58" i="36"/>
  <c r="B57" i="36"/>
  <c r="B56" i="36"/>
  <c r="B55" i="36"/>
  <c r="B54" i="36"/>
  <c r="B53" i="36"/>
  <c r="B52" i="36"/>
  <c r="B51" i="36"/>
  <c r="B50" i="36"/>
  <c r="B49" i="36"/>
  <c r="B48" i="36"/>
  <c r="B47" i="36"/>
  <c r="B46" i="36"/>
  <c r="B45" i="36"/>
  <c r="B44" i="36"/>
  <c r="B43" i="36"/>
  <c r="B42" i="36"/>
  <c r="B41" i="36"/>
  <c r="B40" i="36"/>
  <c r="B39" i="36"/>
  <c r="B38" i="36"/>
  <c r="B37" i="36"/>
  <c r="B36" i="36"/>
  <c r="B35" i="36"/>
  <c r="B34" i="36"/>
  <c r="B33" i="36"/>
  <c r="B32" i="36"/>
  <c r="B31" i="36"/>
  <c r="B30" i="36"/>
  <c r="B29" i="36"/>
  <c r="B28" i="36"/>
  <c r="B27" i="36"/>
  <c r="B26" i="36"/>
  <c r="B25" i="36"/>
  <c r="B24" i="36"/>
  <c r="B23" i="36"/>
  <c r="B22" i="36"/>
  <c r="B21" i="36"/>
  <c r="B20" i="36"/>
  <c r="B19" i="36"/>
  <c r="B18" i="36"/>
  <c r="B17" i="36"/>
  <c r="B16" i="36"/>
  <c r="B15" i="36"/>
  <c r="B14" i="36"/>
  <c r="B13" i="36"/>
  <c r="B12" i="36"/>
  <c r="B11" i="36"/>
  <c r="B10" i="36"/>
  <c r="B9" i="36"/>
  <c r="B8" i="36"/>
  <c r="B7" i="36"/>
  <c r="B6" i="36"/>
  <c r="B5" i="36"/>
  <c r="B33" i="35"/>
  <c r="B32" i="35"/>
  <c r="B31" i="35"/>
  <c r="B30" i="35"/>
  <c r="B29" i="35"/>
  <c r="B28" i="35"/>
  <c r="B27" i="35"/>
  <c r="B26" i="35"/>
  <c r="B25" i="35"/>
  <c r="B24" i="35"/>
  <c r="B23" i="35"/>
  <c r="B22" i="35"/>
  <c r="B21" i="35"/>
  <c r="B20" i="35"/>
  <c r="B19" i="35"/>
  <c r="B18" i="35"/>
  <c r="B17" i="35"/>
  <c r="B16" i="35"/>
  <c r="B15" i="35"/>
  <c r="B14" i="35"/>
  <c r="B13" i="35"/>
  <c r="B12" i="35"/>
  <c r="B11" i="35"/>
  <c r="B10" i="35"/>
  <c r="B9" i="35"/>
  <c r="B8" i="35"/>
  <c r="B7" i="35"/>
  <c r="B6" i="35"/>
  <c r="B5" i="35"/>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5" i="32"/>
  <c r="Z33" i="35" l="1"/>
  <c r="Y33" i="35"/>
  <c r="Z32" i="35"/>
  <c r="Y32" i="35"/>
  <c r="Z31" i="35"/>
  <c r="Y31" i="35"/>
  <c r="Z30" i="35"/>
  <c r="Y30" i="35"/>
  <c r="Z29" i="35"/>
  <c r="Y29" i="35"/>
  <c r="Z28" i="35"/>
  <c r="Y28" i="35"/>
  <c r="Z27" i="35"/>
  <c r="Y27" i="35"/>
  <c r="Z26" i="35"/>
  <c r="Y26" i="35"/>
  <c r="Z25" i="35"/>
  <c r="Y25" i="35"/>
  <c r="Z24" i="35"/>
  <c r="Y24" i="35"/>
  <c r="Z23" i="35"/>
  <c r="Y23" i="35"/>
  <c r="Z22" i="35"/>
  <c r="Y22" i="35"/>
  <c r="Z21" i="35"/>
  <c r="Y21" i="35"/>
  <c r="Z20" i="35"/>
  <c r="Y20" i="35"/>
  <c r="Z19" i="35"/>
  <c r="Y19" i="35"/>
  <c r="Z18" i="35"/>
  <c r="Y18" i="35"/>
  <c r="Z17" i="35"/>
  <c r="Y17" i="35"/>
  <c r="Z16" i="35"/>
  <c r="Y16" i="35"/>
  <c r="Z15" i="35"/>
  <c r="Y15" i="35"/>
  <c r="Z14" i="35"/>
  <c r="Y14" i="35"/>
  <c r="Z13" i="35"/>
  <c r="Y13" i="35"/>
  <c r="Z12" i="35"/>
  <c r="Y12" i="35"/>
  <c r="Z11" i="35"/>
  <c r="Y11" i="35"/>
  <c r="Z10" i="35"/>
  <c r="Y10" i="35"/>
  <c r="Z9" i="35"/>
  <c r="Y9" i="35"/>
  <c r="Z8" i="35"/>
  <c r="Y8" i="35"/>
  <c r="Z7" i="35"/>
  <c r="Y7" i="35"/>
  <c r="Z6" i="35"/>
  <c r="Y6" i="35"/>
  <c r="Z5" i="35"/>
  <c r="Y5" i="35"/>
</calcChain>
</file>

<file path=xl/sharedStrings.xml><?xml version="1.0" encoding="utf-8"?>
<sst xmlns="http://schemas.openxmlformats.org/spreadsheetml/2006/main" count="4122" uniqueCount="1347">
  <si>
    <t>Code</t>
  </si>
  <si>
    <t>Active</t>
  </si>
  <si>
    <t>Experiment</t>
  </si>
  <si>
    <t>Name</t>
  </si>
  <si>
    <t>Comments</t>
  </si>
  <si>
    <t>Description</t>
  </si>
  <si>
    <t>Variable</t>
  </si>
  <si>
    <t>Value</t>
  </si>
  <si>
    <t>DBName</t>
  </si>
  <si>
    <t>ConnectionString</t>
  </si>
  <si>
    <t>V</t>
  </si>
  <si>
    <t>L</t>
  </si>
  <si>
    <t>UserName</t>
  </si>
  <si>
    <t>Password</t>
  </si>
  <si>
    <t>Thomas</t>
  </si>
  <si>
    <t>Connection</t>
  </si>
  <si>
    <t>Batch Sources</t>
  </si>
  <si>
    <t>Batch Source Details</t>
  </si>
  <si>
    <t>System tables</t>
  </si>
  <si>
    <t>Start Date</t>
  </si>
  <si>
    <t>ID</t>
  </si>
  <si>
    <t xml:space="preserve">   </t>
  </si>
  <si>
    <t>Provider=Microsoft.ACE.OLEDB.12.0;</t>
  </si>
  <si>
    <t>DataSource.accdb</t>
  </si>
  <si>
    <t>Frequency</t>
  </si>
  <si>
    <t>Opening Value</t>
  </si>
  <si>
    <t>Random Opening Value</t>
  </si>
  <si>
    <t>Step</t>
  </si>
  <si>
    <t>Start Value</t>
  </si>
  <si>
    <t>Measure</t>
  </si>
  <si>
    <t>Currency</t>
  </si>
  <si>
    <t>Batch Source ID</t>
  </si>
  <si>
    <t>Min</t>
  </si>
  <si>
    <t>Max</t>
  </si>
  <si>
    <t>Count</t>
  </si>
  <si>
    <t>Variables</t>
  </si>
  <si>
    <t>EXPERIMENT MANAGEMENT</t>
  </si>
  <si>
    <t>Curve Details</t>
  </si>
  <si>
    <t>Day</t>
  </si>
  <si>
    <t>Variability</t>
  </si>
  <si>
    <t>Histogram</t>
  </si>
  <si>
    <t>Country</t>
  </si>
  <si>
    <t>Province</t>
  </si>
  <si>
    <t>Facility Type</t>
  </si>
  <si>
    <t>Tax</t>
  </si>
  <si>
    <t>End Date</t>
  </si>
  <si>
    <t>Period Time</t>
  </si>
  <si>
    <t>Is Limited?</t>
  </si>
  <si>
    <t>Tax Events</t>
  </si>
  <si>
    <t>CAN</t>
  </si>
  <si>
    <t>Location</t>
  </si>
  <si>
    <t>Order</t>
  </si>
  <si>
    <t>Canada</t>
  </si>
  <si>
    <t>US</t>
  </si>
  <si>
    <t>AB</t>
  </si>
  <si>
    <t>BC</t>
  </si>
  <si>
    <t>Provinces/States</t>
  </si>
  <si>
    <t> Alberta</t>
  </si>
  <si>
    <t> Alberta, Canada</t>
  </si>
  <si>
    <t> British Columbia</t>
  </si>
  <si>
    <t> British Columbia, Canada</t>
  </si>
  <si>
    <t>MB</t>
  </si>
  <si>
    <t> Manitoba</t>
  </si>
  <si>
    <t> Manitoba, Canada</t>
  </si>
  <si>
    <t>NB</t>
  </si>
  <si>
    <t> New Brunswick</t>
  </si>
  <si>
    <t> New Brunswick, Canada</t>
  </si>
  <si>
    <t>NL</t>
  </si>
  <si>
    <t> Newfoundland and Labrador</t>
  </si>
  <si>
    <t> Newfoundland and Labrador, Canada</t>
  </si>
  <si>
    <t>NS</t>
  </si>
  <si>
    <t> Nova Scotia</t>
  </si>
  <si>
    <t> Nova Scotia, Canada</t>
  </si>
  <si>
    <t>NT</t>
  </si>
  <si>
    <t> Northwest Territories</t>
  </si>
  <si>
    <t> Northwest Territories, Canada</t>
  </si>
  <si>
    <t>NU</t>
  </si>
  <si>
    <t>Nunavut</t>
  </si>
  <si>
    <t>Nunavut, Canada</t>
  </si>
  <si>
    <t>ON</t>
  </si>
  <si>
    <t> Ontario</t>
  </si>
  <si>
    <t> Ontario, Canada</t>
  </si>
  <si>
    <t>PE</t>
  </si>
  <si>
    <t> Prince Edward Island</t>
  </si>
  <si>
    <t> Prince Edward Island, Canada</t>
  </si>
  <si>
    <t>QC</t>
  </si>
  <si>
    <t> Quebec</t>
  </si>
  <si>
    <t> Quebec, Canada</t>
  </si>
  <si>
    <t>SK</t>
  </si>
  <si>
    <t> Saskatchewan</t>
  </si>
  <si>
    <t> Saskatchewan, Canada</t>
  </si>
  <si>
    <t>YT</t>
  </si>
  <si>
    <t> Yukon</t>
  </si>
  <si>
    <t> Yukon, Canada</t>
  </si>
  <si>
    <t>Jurisdictions</t>
  </si>
  <si>
    <t>Province/State</t>
  </si>
  <si>
    <t>Type</t>
  </si>
  <si>
    <t>Master Jurisdiction</t>
  </si>
  <si>
    <t>TX</t>
  </si>
  <si>
    <t>OK</t>
  </si>
  <si>
    <t>PROVINCE</t>
  </si>
  <si>
    <t>AB_CAN</t>
  </si>
  <si>
    <t>Alberta, Canada</t>
  </si>
  <si>
    <t>Nevada</t>
  </si>
  <si>
    <t>Nevada, United States</t>
  </si>
  <si>
    <t>NV</t>
  </si>
  <si>
    <t>Texas</t>
  </si>
  <si>
    <t>Texas, United States</t>
  </si>
  <si>
    <t>Oklahoma</t>
  </si>
  <si>
    <t>Oklahoma, United States</t>
  </si>
  <si>
    <t>Washington</t>
  </si>
  <si>
    <t>WA</t>
  </si>
  <si>
    <t>Michigan</t>
  </si>
  <si>
    <t>Michigan, United States</t>
  </si>
  <si>
    <t>MI</t>
  </si>
  <si>
    <t>Mississippi</t>
  </si>
  <si>
    <t>Mississippi, United States</t>
  </si>
  <si>
    <t>MS</t>
  </si>
  <si>
    <t>Colorado</t>
  </si>
  <si>
    <t>Colorado, United States</t>
  </si>
  <si>
    <t>CO</t>
  </si>
  <si>
    <t>Oregon</t>
  </si>
  <si>
    <t>Oregon, United States</t>
  </si>
  <si>
    <t>OR</t>
  </si>
  <si>
    <t>New Hampshire</t>
  </si>
  <si>
    <t>New Hampshire, United States</t>
  </si>
  <si>
    <t>NH</t>
  </si>
  <si>
    <t>Indiana</t>
  </si>
  <si>
    <t>Indiana, United States</t>
  </si>
  <si>
    <t>IN</t>
  </si>
  <si>
    <t>Illinois</t>
  </si>
  <si>
    <t>Illinois, United States</t>
  </si>
  <si>
    <t>IL</t>
  </si>
  <si>
    <t>Wisconsin</t>
  </si>
  <si>
    <t>Wisconsin, United States</t>
  </si>
  <si>
    <t>WI</t>
  </si>
  <si>
    <t>Montana</t>
  </si>
  <si>
    <t>Montana, United States</t>
  </si>
  <si>
    <t>MT</t>
  </si>
  <si>
    <t>North Dakota</t>
  </si>
  <si>
    <t>North Dakota, United States</t>
  </si>
  <si>
    <t>ND</t>
  </si>
  <si>
    <t>Fig Code</t>
  </si>
  <si>
    <t>FC</t>
  </si>
  <si>
    <t>Fuel Cell</t>
  </si>
  <si>
    <t>GA</t>
  </si>
  <si>
    <t>Gas Asset</t>
  </si>
  <si>
    <t>GD</t>
  </si>
  <si>
    <t>Gas Distribution</t>
  </si>
  <si>
    <t>HQ</t>
  </si>
  <si>
    <t>Headquarters</t>
  </si>
  <si>
    <t>LS_JV</t>
  </si>
  <si>
    <t>Liquids Systems and Joint Ventures</t>
  </si>
  <si>
    <t>NGS_JV</t>
  </si>
  <si>
    <t>Natural Gas Systems and Joint Ventures</t>
  </si>
  <si>
    <t>OFF</t>
  </si>
  <si>
    <t>Offices</t>
  </si>
  <si>
    <t>PT</t>
  </si>
  <si>
    <t>Power Transmission</t>
  </si>
  <si>
    <t>SA</t>
  </si>
  <si>
    <t>Solar Assets</t>
  </si>
  <si>
    <t>ST</t>
  </si>
  <si>
    <t>Storage</t>
  </si>
  <si>
    <t>SHR</t>
  </si>
  <si>
    <t>Waste Heat Recovery</t>
  </si>
  <si>
    <t>Wind Asset</t>
  </si>
  <si>
    <t>RA</t>
  </si>
  <si>
    <t>Rail</t>
  </si>
  <si>
    <t>RA_T</t>
  </si>
  <si>
    <t>Rail and Truck</t>
  </si>
  <si>
    <t>HY_PT</t>
  </si>
  <si>
    <t>Hydropower VLH</t>
  </si>
  <si>
    <t>GEO</t>
  </si>
  <si>
    <t>Geothermal Energy</t>
  </si>
  <si>
    <t>TLM</t>
  </si>
  <si>
    <t>Transportation, Logistics, Marketing</t>
  </si>
  <si>
    <t>Facility</t>
  </si>
  <si>
    <t>Emission</t>
  </si>
  <si>
    <t>Recovery</t>
  </si>
  <si>
    <t>Facility Schedule</t>
  </si>
  <si>
    <t>Dependency</t>
  </si>
  <si>
    <t>Facilities</t>
  </si>
  <si>
    <t>Tax Mode</t>
  </si>
  <si>
    <t>Trade Markets</t>
  </si>
  <si>
    <t>Performance</t>
  </si>
  <si>
    <t>Jurisdiction</t>
  </si>
  <si>
    <t>Is Tax Calculated?</t>
  </si>
  <si>
    <t>Facility Dependencies</t>
  </si>
  <si>
    <t>Balance</t>
  </si>
  <si>
    <t>Price</t>
  </si>
  <si>
    <t>Is Carryover?</t>
  </si>
  <si>
    <t>Is Renew?</t>
  </si>
  <si>
    <t>Credit Events</t>
  </si>
  <si>
    <t>Minnesota</t>
  </si>
  <si>
    <t>Minnesota, United States</t>
  </si>
  <si>
    <t>MN</t>
  </si>
  <si>
    <t>Maine</t>
  </si>
  <si>
    <t>Maine, United States</t>
  </si>
  <si>
    <t>CA</t>
  </si>
  <si>
    <t>Washington, United States</t>
  </si>
  <si>
    <t>California</t>
  </si>
  <si>
    <t>California, United States</t>
  </si>
  <si>
    <t>Alberta</t>
  </si>
  <si>
    <t>ME</t>
  </si>
  <si>
    <t>AL</t>
  </si>
  <si>
    <t>Alabama</t>
  </si>
  <si>
    <t>Alabama, United States</t>
  </si>
  <si>
    <t>AK</t>
  </si>
  <si>
    <t>Alaska</t>
  </si>
  <si>
    <t>Alaska, United States</t>
  </si>
  <si>
    <t>AZ</t>
  </si>
  <si>
    <t>Arizona</t>
  </si>
  <si>
    <t>Arizona, United States</t>
  </si>
  <si>
    <t>AR</t>
  </si>
  <si>
    <t>Arkansas</t>
  </si>
  <si>
    <t>Arkansas, United States</t>
  </si>
  <si>
    <t>CT</t>
  </si>
  <si>
    <t>Connecticut</t>
  </si>
  <si>
    <t>Connecticut, United States</t>
  </si>
  <si>
    <t>DE</t>
  </si>
  <si>
    <t>Delaware</t>
  </si>
  <si>
    <t>Delaware, United States</t>
  </si>
  <si>
    <t>FL</t>
  </si>
  <si>
    <t>Florida</t>
  </si>
  <si>
    <t>Florida, United States</t>
  </si>
  <si>
    <t>Georgia</t>
  </si>
  <si>
    <t>Georgia, United States</t>
  </si>
  <si>
    <t>HI</t>
  </si>
  <si>
    <t>Hawaii</t>
  </si>
  <si>
    <t>Hawaii, United States</t>
  </si>
  <si>
    <t>Idaho</t>
  </si>
  <si>
    <t>Idaho, United States</t>
  </si>
  <si>
    <t>IA</t>
  </si>
  <si>
    <t>Iowa</t>
  </si>
  <si>
    <t>Iowa, United States</t>
  </si>
  <si>
    <t>KS</t>
  </si>
  <si>
    <t>Kansas</t>
  </si>
  <si>
    <t>Kansas, United States</t>
  </si>
  <si>
    <t>KY</t>
  </si>
  <si>
    <t>Kentucky</t>
  </si>
  <si>
    <t>Kentucky, United States</t>
  </si>
  <si>
    <t>LA</t>
  </si>
  <si>
    <t>Louisiana</t>
  </si>
  <si>
    <t>Louisiana, United States</t>
  </si>
  <si>
    <t>MD</t>
  </si>
  <si>
    <t>Maryland</t>
  </si>
  <si>
    <t>Maryland, United States</t>
  </si>
  <si>
    <t>MA</t>
  </si>
  <si>
    <t>Massachusetts</t>
  </si>
  <si>
    <t>Massachusetts, United States</t>
  </si>
  <si>
    <t>MO</t>
  </si>
  <si>
    <t>Missouri</t>
  </si>
  <si>
    <t>Missouri, United States</t>
  </si>
  <si>
    <t>NE</t>
  </si>
  <si>
    <t>Nebraska</t>
  </si>
  <si>
    <t>Nebraska, United States</t>
  </si>
  <si>
    <t>NJ</t>
  </si>
  <si>
    <t>New Jersey</t>
  </si>
  <si>
    <t>New Jersey, United States</t>
  </si>
  <si>
    <t>NM</t>
  </si>
  <si>
    <t>New Mexico</t>
  </si>
  <si>
    <t>New Mexico, United States</t>
  </si>
  <si>
    <t>NY</t>
  </si>
  <si>
    <t>New York</t>
  </si>
  <si>
    <t>New York, United States</t>
  </si>
  <si>
    <t>NC</t>
  </si>
  <si>
    <t>North Carolina</t>
  </si>
  <si>
    <t>North Carolina, United States</t>
  </si>
  <si>
    <t>OH</t>
  </si>
  <si>
    <t>Ohio</t>
  </si>
  <si>
    <t>Ohio, United States</t>
  </si>
  <si>
    <t>PA</t>
  </si>
  <si>
    <t>Pennsylvania</t>
  </si>
  <si>
    <t>Pennsylvania, United States</t>
  </si>
  <si>
    <t>RI</t>
  </si>
  <si>
    <t>Rhode Island</t>
  </si>
  <si>
    <t>Rhode Island, United States</t>
  </si>
  <si>
    <t>SC</t>
  </si>
  <si>
    <t>South Carolina</t>
  </si>
  <si>
    <t>South Carolina, United States</t>
  </si>
  <si>
    <t>SD</t>
  </si>
  <si>
    <t>South Dakota</t>
  </si>
  <si>
    <t>South Dakota, United States</t>
  </si>
  <si>
    <t>TN</t>
  </si>
  <si>
    <t>Tennessee</t>
  </si>
  <si>
    <t>Tennessee, United States</t>
  </si>
  <si>
    <t>UT</t>
  </si>
  <si>
    <t>Utah</t>
  </si>
  <si>
    <t>Utah, United States</t>
  </si>
  <si>
    <t>VT</t>
  </si>
  <si>
    <t>Vermont</t>
  </si>
  <si>
    <t>Vermont, United States</t>
  </si>
  <si>
    <t>VA</t>
  </si>
  <si>
    <t>Virginia</t>
  </si>
  <si>
    <t>Virginia, United States</t>
  </si>
  <si>
    <t>WV</t>
  </si>
  <si>
    <t>West Virginia</t>
  </si>
  <si>
    <t>West Virginia, United States</t>
  </si>
  <si>
    <t>U</t>
  </si>
  <si>
    <t>Uranium Energy</t>
  </si>
  <si>
    <t>IsJurisdiction</t>
  </si>
  <si>
    <t>IsFacility</t>
  </si>
  <si>
    <t>Petroleum Extraction</t>
  </si>
  <si>
    <t>Construction</t>
  </si>
  <si>
    <t>FPD</t>
  </si>
  <si>
    <t>Food Processing Development</t>
  </si>
  <si>
    <t>AG</t>
  </si>
  <si>
    <t>Agriculture</t>
  </si>
  <si>
    <t>TIM</t>
  </si>
  <si>
    <t>Timber</t>
  </si>
  <si>
    <t>COAL</t>
  </si>
  <si>
    <t>Coal Mine</t>
  </si>
  <si>
    <t>PCM</t>
  </si>
  <si>
    <t>Petrochemical</t>
  </si>
  <si>
    <t>location</t>
  </si>
  <si>
    <t>Legal Name</t>
  </si>
  <si>
    <t>Total Targeted Emissions</t>
  </si>
  <si>
    <t>IsInnerTrading</t>
  </si>
  <si>
    <t>StartInnerTrading</t>
  </si>
  <si>
    <t>StopInnerTrading</t>
  </si>
  <si>
    <t>IsOutsideTrading</t>
  </si>
  <si>
    <t>StartOutsideTrading</t>
  </si>
  <si>
    <t>StopOutsideTrading</t>
  </si>
  <si>
    <t>DefaultTradeType</t>
  </si>
  <si>
    <t>IsWithinTerritory</t>
  </si>
  <si>
    <t>WithinTerritory</t>
  </si>
  <si>
    <t>CAD</t>
  </si>
  <si>
    <t>ALLOW</t>
  </si>
  <si>
    <t>Companies</t>
  </si>
  <si>
    <t>Is Connection Visible?</t>
  </si>
  <si>
    <t>Company</t>
  </si>
  <si>
    <t>CCS</t>
  </si>
  <si>
    <t>Carbon Capture and Storage Pipeline</t>
  </si>
  <si>
    <t>C01</t>
  </si>
  <si>
    <t>Rail Ltd</t>
  </si>
  <si>
    <t>C02</t>
  </si>
  <si>
    <t>Petro Extraction</t>
  </si>
  <si>
    <t>Petro Ext Ltd</t>
  </si>
  <si>
    <t>C03</t>
  </si>
  <si>
    <t>Construction Inc</t>
  </si>
  <si>
    <t>C04</t>
  </si>
  <si>
    <t>Power</t>
  </si>
  <si>
    <t>Power Inc</t>
  </si>
  <si>
    <t>C05</t>
  </si>
  <si>
    <t>Coal</t>
  </si>
  <si>
    <t>Coal Ltd</t>
  </si>
  <si>
    <t>C06</t>
  </si>
  <si>
    <t>Wind</t>
  </si>
  <si>
    <t>Wind Inc</t>
  </si>
  <si>
    <t>C07</t>
  </si>
  <si>
    <t>Solar</t>
  </si>
  <si>
    <t>Solar Inc</t>
  </si>
  <si>
    <t>C08</t>
  </si>
  <si>
    <t>Food</t>
  </si>
  <si>
    <t>Food Ltd</t>
  </si>
  <si>
    <t>C09</t>
  </si>
  <si>
    <t>Agri</t>
  </si>
  <si>
    <t>Agri Inc</t>
  </si>
  <si>
    <t>C10</t>
  </si>
  <si>
    <t>Petrochem</t>
  </si>
  <si>
    <t>Petro-Chem Ltd</t>
  </si>
  <si>
    <t>C11</t>
  </si>
  <si>
    <t>Gas</t>
  </si>
  <si>
    <t>Gas Transport Inc</t>
  </si>
  <si>
    <t>C12</t>
  </si>
  <si>
    <t>Oil</t>
  </si>
  <si>
    <t>Oil Transport Inc</t>
  </si>
  <si>
    <t>C13</t>
  </si>
  <si>
    <t>Wood</t>
  </si>
  <si>
    <t>Wood Ltd</t>
  </si>
  <si>
    <t>CAL_AB</t>
  </si>
  <si>
    <t>Calgary</t>
  </si>
  <si>
    <t>Calgary, AB, Canada</t>
  </si>
  <si>
    <t>MUNICIPAL</t>
  </si>
  <si>
    <t>CAR_AB</t>
  </si>
  <si>
    <t>Carmangay</t>
  </si>
  <si>
    <t>Carmangay, AB, Canada</t>
  </si>
  <si>
    <t>CHE_AB</t>
  </si>
  <si>
    <t>Cheecham</t>
  </si>
  <si>
    <t>Cheecham, AB, Canada</t>
  </si>
  <si>
    <t>EDM_AB</t>
  </si>
  <si>
    <t>Edmonton</t>
  </si>
  <si>
    <t>Edmonton, AB, Canada</t>
  </si>
  <si>
    <t>FMC_AB</t>
  </si>
  <si>
    <t>Fort McMurray</t>
  </si>
  <si>
    <t>Fort McMurray, AB, Canada</t>
  </si>
  <si>
    <t>HAR_AB</t>
  </si>
  <si>
    <t>Hardisty</t>
  </si>
  <si>
    <t>Hardisty, AB, Canada</t>
  </si>
  <si>
    <t>LET_AB</t>
  </si>
  <si>
    <t>Lethbridge</t>
  </si>
  <si>
    <t>Lethbridge, AB, Canada</t>
  </si>
  <si>
    <t>PRA_AB</t>
  </si>
  <si>
    <t>Peace River</t>
  </si>
  <si>
    <t>Peace River, AB, Canada</t>
  </si>
  <si>
    <t>SHE_AB</t>
  </si>
  <si>
    <t>Sherwood Park</t>
  </si>
  <si>
    <t>Sherwood Park, AB, Canada</t>
  </si>
  <si>
    <t>TAB_AB</t>
  </si>
  <si>
    <t>Taber</t>
  </si>
  <si>
    <t>Taber, AB, Canada</t>
  </si>
  <si>
    <t>WHI_AB</t>
  </si>
  <si>
    <t>Whitecourt</t>
  </si>
  <si>
    <t>Whitecourt, AB, Canada</t>
  </si>
  <si>
    <t>ZAM_AB</t>
  </si>
  <si>
    <t>Zama</t>
  </si>
  <si>
    <t>Zama, AB, Canada</t>
  </si>
  <si>
    <t>BC_CAN</t>
  </si>
  <si>
    <t>British Columbia</t>
  </si>
  <si>
    <t>British Columbia, Canada</t>
  </si>
  <si>
    <t>DCR_BC</t>
  </si>
  <si>
    <t>Dawson Creek</t>
  </si>
  <si>
    <t>Dawson Creek, BC, Canada</t>
  </si>
  <si>
    <t>FSJ_BC</t>
  </si>
  <si>
    <t>Fort St John</t>
  </si>
  <si>
    <t>Fort St John, BC, Canada</t>
  </si>
  <si>
    <t>CO_US</t>
  </si>
  <si>
    <t>STATE</t>
  </si>
  <si>
    <t>LIM_CO</t>
  </si>
  <si>
    <t>Limon</t>
  </si>
  <si>
    <t>Limon, CO, United States</t>
  </si>
  <si>
    <t>CHN_IL</t>
  </si>
  <si>
    <t>Channahon</t>
  </si>
  <si>
    <t>Channahon, IL, United States</t>
  </si>
  <si>
    <t>IL_US</t>
  </si>
  <si>
    <t>JLT_IL</t>
  </si>
  <si>
    <t>Joliet</t>
  </si>
  <si>
    <t>Joliet, IL, United States</t>
  </si>
  <si>
    <t>MNH_IL</t>
  </si>
  <si>
    <t>Manhattan</t>
  </si>
  <si>
    <t>Manhattan, IL, United States</t>
  </si>
  <si>
    <t>PNT_IL</t>
  </si>
  <si>
    <t>Pontiac</t>
  </si>
  <si>
    <t>Pontiac, IL, United States</t>
  </si>
  <si>
    <t>ELW_IN</t>
  </si>
  <si>
    <t>Elwood</t>
  </si>
  <si>
    <t>Elwood, IN, United States</t>
  </si>
  <si>
    <t>IN_US</t>
  </si>
  <si>
    <t>GRF_IN</t>
  </si>
  <si>
    <t>Griffith</t>
  </si>
  <si>
    <t>Griffith, IN, United States</t>
  </si>
  <si>
    <t>SCH_IN</t>
  </si>
  <si>
    <t>Schereville</t>
  </si>
  <si>
    <t>Schererville, IN, United States</t>
  </si>
  <si>
    <t>CRM_MB</t>
  </si>
  <si>
    <t>Cromer</t>
  </si>
  <si>
    <t>Cromer, MB, Canada</t>
  </si>
  <si>
    <t>MB_CAN</t>
  </si>
  <si>
    <t>GRT_MB</t>
  </si>
  <si>
    <t>Gretna</t>
  </si>
  <si>
    <t>Gretna, MB, Canada</t>
  </si>
  <si>
    <t>Manitoba</t>
  </si>
  <si>
    <t>Manitoba, Canada</t>
  </si>
  <si>
    <t>ME_US</t>
  </si>
  <si>
    <t>WSB_ME</t>
  </si>
  <si>
    <t>Westbrook</t>
  </si>
  <si>
    <t>Westbrook, Minnesota, United States</t>
  </si>
  <si>
    <t>MI_US</t>
  </si>
  <si>
    <t>Michigan, Unites States</t>
  </si>
  <si>
    <t>STB_MI</t>
  </si>
  <si>
    <t>Stockbridge</t>
  </si>
  <si>
    <t>Stockbridge, MI, United States</t>
  </si>
  <si>
    <t>CLB_MN</t>
  </si>
  <si>
    <t>Clearbrook</t>
  </si>
  <si>
    <t>Clearbrook, MN, United States</t>
  </si>
  <si>
    <t>MN_US</t>
  </si>
  <si>
    <t>MS_US</t>
  </si>
  <si>
    <t>PTL_MS</t>
  </si>
  <si>
    <t>Petal</t>
  </si>
  <si>
    <t>Petal, MS, United States</t>
  </si>
  <si>
    <t>GFS_MT</t>
  </si>
  <si>
    <t>Great Falls</t>
  </si>
  <si>
    <t>Great Falls, MT, United States</t>
  </si>
  <si>
    <t>MT_US</t>
  </si>
  <si>
    <t>PTW_MT</t>
  </si>
  <si>
    <t>Plentywood</t>
  </si>
  <si>
    <t>Plentywood, MT, United States</t>
  </si>
  <si>
    <t>BRL_ND</t>
  </si>
  <si>
    <t>Beaver Lodge</t>
  </si>
  <si>
    <t>Beaver Lodge, ND, United States</t>
  </si>
  <si>
    <t>ND_US</t>
  </si>
  <si>
    <t>BRT_ND</t>
  </si>
  <si>
    <t>Berthold</t>
  </si>
  <si>
    <t>Berthold, ND, United States</t>
  </si>
  <si>
    <t>MNT_ND</t>
  </si>
  <si>
    <t>Minot</t>
  </si>
  <si>
    <t>Minot, ND, United States</t>
  </si>
  <si>
    <t>NH_US</t>
  </si>
  <si>
    <t>PTB_NH</t>
  </si>
  <si>
    <t>Pittsburg</t>
  </si>
  <si>
    <t>Pittsburg, NH, United States</t>
  </si>
  <si>
    <t>NOW_NT</t>
  </si>
  <si>
    <t>Norman Wells</t>
  </si>
  <si>
    <t>Norman Wells, NT, Canada</t>
  </si>
  <si>
    <t>NT_CAN</t>
  </si>
  <si>
    <t>Northwest Territories</t>
  </si>
  <si>
    <t>Northwest Territories, Canada</t>
  </si>
  <si>
    <t>CLC_NV</t>
  </si>
  <si>
    <t>Clark County</t>
  </si>
  <si>
    <t>Clark County, NV</t>
  </si>
  <si>
    <t>NV_US</t>
  </si>
  <si>
    <t>CSH_OK</t>
  </si>
  <si>
    <t>Cushing</t>
  </si>
  <si>
    <t>Cushing, OK, United States</t>
  </si>
  <si>
    <t>OK_US</t>
  </si>
  <si>
    <t>KIN_ON</t>
  </si>
  <si>
    <t>Kincardine</t>
  </si>
  <si>
    <t>Kincardine, ON, Canada</t>
  </si>
  <si>
    <t>ON_CAN</t>
  </si>
  <si>
    <t>Ontario</t>
  </si>
  <si>
    <t>Ontario, Canada</t>
  </si>
  <si>
    <t>OTW_ON</t>
  </si>
  <si>
    <t>Ottawa</t>
  </si>
  <si>
    <t>Ottawa, ON, Canada</t>
  </si>
  <si>
    <t>SAR_ON</t>
  </si>
  <si>
    <t>Sarnia</t>
  </si>
  <si>
    <t>Sarnia, ON, Canada</t>
  </si>
  <si>
    <t>THB_ON</t>
  </si>
  <si>
    <t>Thunder Bay</t>
  </si>
  <si>
    <t>Thunder Bay, ON, Canada</t>
  </si>
  <si>
    <t>TOR_ON</t>
  </si>
  <si>
    <t>Toronto</t>
  </si>
  <si>
    <t>Toronto, ON, Canada</t>
  </si>
  <si>
    <t>WSG_ON</t>
  </si>
  <si>
    <t>Washago</t>
  </si>
  <si>
    <t>Washago, ON, Canada</t>
  </si>
  <si>
    <t>MLC_OR</t>
  </si>
  <si>
    <t>Malheur County</t>
  </si>
  <si>
    <t>Malheur County, OR, United States</t>
  </si>
  <si>
    <t>OR_US</t>
  </si>
  <si>
    <t>Oregon,  United States</t>
  </si>
  <si>
    <t>PRL_OR</t>
  </si>
  <si>
    <t>Portland</t>
  </si>
  <si>
    <t>Portland,  OR, United States</t>
  </si>
  <si>
    <t>BSL_QC</t>
  </si>
  <si>
    <t>Bas-Saint-Lauren</t>
  </si>
  <si>
    <t>Bas-Saint-Laurent, QC, Canada</t>
  </si>
  <si>
    <t>QC_CAN</t>
  </si>
  <si>
    <t>MNT_QC</t>
  </si>
  <si>
    <t>Montreal</t>
  </si>
  <si>
    <t>Montreal, QC, Canada</t>
  </si>
  <si>
    <t>Quebec</t>
  </si>
  <si>
    <t>Quebec, Canada</t>
  </si>
  <si>
    <t>SLB_QC</t>
  </si>
  <si>
    <t>Saint-Luc-de-Bellechasse</t>
  </si>
  <si>
    <t>Saint-Luc-de-Bellechasse, QC, Canada</t>
  </si>
  <si>
    <t>ALM_SK</t>
  </si>
  <si>
    <t>Alameda</t>
  </si>
  <si>
    <t>Alameda, SK, Canada</t>
  </si>
  <si>
    <t>SK_CAN</t>
  </si>
  <si>
    <t>EST_SK</t>
  </si>
  <si>
    <t>Estin</t>
  </si>
  <si>
    <t>Estin, SK, Canada</t>
  </si>
  <si>
    <t>GLK_SK</t>
  </si>
  <si>
    <t>Gull Lake</t>
  </si>
  <si>
    <t>Gull Lake, SK, Canada</t>
  </si>
  <si>
    <t>KER_SK</t>
  </si>
  <si>
    <t>Kerrobert</t>
  </si>
  <si>
    <t>Kerrobert, SK, Canada</t>
  </si>
  <si>
    <t>LOR_SK</t>
  </si>
  <si>
    <t>Loreburn</t>
  </si>
  <si>
    <t>Loreburn, SK, Canada</t>
  </si>
  <si>
    <t>REG_SK</t>
  </si>
  <si>
    <t>Regina</t>
  </si>
  <si>
    <t>Regina, SK, Canada</t>
  </si>
  <si>
    <t>Saskatchewan</t>
  </si>
  <si>
    <t>Saskatchewan, Canada</t>
  </si>
  <si>
    <t>HRG_TX</t>
  </si>
  <si>
    <t>Harligen</t>
  </si>
  <si>
    <t>Harligen, TX, United States</t>
  </si>
  <si>
    <t>TX_US</t>
  </si>
  <si>
    <t>JKC_TX</t>
  </si>
  <si>
    <t>Jack County</t>
  </si>
  <si>
    <t>Jack County, TX, United States</t>
  </si>
  <si>
    <t>PMP_TX</t>
  </si>
  <si>
    <t>Pampa</t>
  </si>
  <si>
    <t>Pampa, TX, United States</t>
  </si>
  <si>
    <t>BLN_WA</t>
  </si>
  <si>
    <t>Blaine</t>
  </si>
  <si>
    <t>Blaine, WA, United States</t>
  </si>
  <si>
    <t>WA_US</t>
  </si>
  <si>
    <t>SUP_WI</t>
  </si>
  <si>
    <t>Superior</t>
  </si>
  <si>
    <t>Superior, WI, United States</t>
  </si>
  <si>
    <t>WI_US</t>
  </si>
  <si>
    <t>CA_US</t>
  </si>
  <si>
    <t>California, US</t>
  </si>
  <si>
    <t>ENB</t>
  </si>
  <si>
    <t>Enbridge</t>
  </si>
  <si>
    <t>Enbridge Inc</t>
  </si>
  <si>
    <t>TCPL</t>
  </si>
  <si>
    <t>Transcanada</t>
  </si>
  <si>
    <t>Trans Canada Pipeleines Ltd</t>
  </si>
  <si>
    <t>USD</t>
  </si>
  <si>
    <t>Alberta Industry</t>
  </si>
  <si>
    <t xml:space="preserve">Oil Storage Facility </t>
  </si>
  <si>
    <t>Utility 1</t>
  </si>
  <si>
    <t>Manufacturing 1</t>
  </si>
  <si>
    <t>PetroChem</t>
  </si>
  <si>
    <t>20</t>
  </si>
  <si>
    <t>15</t>
  </si>
  <si>
    <t>17</t>
  </si>
  <si>
    <t>CAP</t>
  </si>
  <si>
    <t>United States</t>
  </si>
  <si>
    <t>TAX</t>
  </si>
  <si>
    <t>Uranium Power Generation</t>
  </si>
  <si>
    <t>7</t>
  </si>
  <si>
    <t>FED_CAN</t>
  </si>
  <si>
    <t>Canada Federal tax</t>
  </si>
  <si>
    <t>MB; NB; NL; NS; NT; NU; PE; SK; YT</t>
  </si>
  <si>
    <t>10</t>
  </si>
  <si>
    <t>30</t>
  </si>
  <si>
    <t>40</t>
  </si>
  <si>
    <t>50</t>
  </si>
  <si>
    <t>PROV_AB</t>
  </si>
  <si>
    <t>Alberta Provincial tax</t>
  </si>
  <si>
    <t>PROV_BC</t>
  </si>
  <si>
    <t>BC Provincial tax</t>
  </si>
  <si>
    <t>60</t>
  </si>
  <si>
    <t>70</t>
  </si>
  <si>
    <t>FED_US</t>
  </si>
  <si>
    <t>US Federal tax</t>
  </si>
  <si>
    <t>-10</t>
  </si>
  <si>
    <t>-20</t>
  </si>
  <si>
    <t>-30</t>
  </si>
  <si>
    <t>-40</t>
  </si>
  <si>
    <t>-50</t>
  </si>
  <si>
    <t>STATE_TX</t>
  </si>
  <si>
    <t>5</t>
  </si>
  <si>
    <t>12</t>
  </si>
  <si>
    <t>CAN_BC_PS</t>
  </si>
  <si>
    <t>Pump Stations CAP for BC</t>
  </si>
  <si>
    <t>FED_C02_01</t>
  </si>
  <si>
    <t>C02_AB_CAN</t>
  </si>
  <si>
    <t>FED_C02_02</t>
  </si>
  <si>
    <t>FED_C02_03</t>
  </si>
  <si>
    <t>FED_C03_01</t>
  </si>
  <si>
    <t>C03_AB_CAN</t>
  </si>
  <si>
    <t>FED_C03_02</t>
  </si>
  <si>
    <t>FED_C03_03</t>
  </si>
  <si>
    <t>FED_US_CA01</t>
  </si>
  <si>
    <t>US CAP for California</t>
  </si>
  <si>
    <t>Gas Limited</t>
  </si>
  <si>
    <t>Wind Power</t>
  </si>
  <si>
    <t>Coal Limited</t>
  </si>
  <si>
    <t>Uranium Limited</t>
  </si>
  <si>
    <t>Solar Power</t>
  </si>
  <si>
    <t>ATCO Electric</t>
  </si>
  <si>
    <t>Minerals Inc</t>
  </si>
  <si>
    <t>20000, 40000, 60000</t>
  </si>
  <si>
    <t>10000, 12000, 17000</t>
  </si>
  <si>
    <t>FX_USD_CAD</t>
  </si>
  <si>
    <t>CAN Federal Trading Forecast</t>
  </si>
  <si>
    <t>[CAD/USD]</t>
  </si>
  <si>
    <t>1.1443-1.1543</t>
  </si>
  <si>
    <t>1.1543-1.1643</t>
  </si>
  <si>
    <t>1.1643-1.1743</t>
  </si>
  <si>
    <t>1.1743-1.1843</t>
  </si>
  <si>
    <t>1.1843-1.1943</t>
  </si>
  <si>
    <t>1.1943-1.2043</t>
  </si>
  <si>
    <t>1.2043-1.2143</t>
  </si>
  <si>
    <t>1.2143-1.2243</t>
  </si>
  <si>
    <t>1.2243-1.2343</t>
  </si>
  <si>
    <t>1.2343-1.2443</t>
  </si>
  <si>
    <t>1.2443-1.2543</t>
  </si>
  <si>
    <t>1.2543-1.2643</t>
  </si>
  <si>
    <t>1.2643-1.2743</t>
  </si>
  <si>
    <t>1.2743-1.2843</t>
  </si>
  <si>
    <t>1.2843-1.2943</t>
  </si>
  <si>
    <t>1.2943-1.3043</t>
  </si>
  <si>
    <t>1.3043-1.3143</t>
  </si>
  <si>
    <t>1.3243-1.3343</t>
  </si>
  <si>
    <t>0.9343-0.9443</t>
  </si>
  <si>
    <t>0.9443-0.9543</t>
  </si>
  <si>
    <t>0.9543-0.9643</t>
  </si>
  <si>
    <t>0.9643-0.9743</t>
  </si>
  <si>
    <t>0.9743-0.9843</t>
  </si>
  <si>
    <t>0.9843-0.9943</t>
  </si>
  <si>
    <t>0.9943-1.0043</t>
  </si>
  <si>
    <t>1.0043-1.0143</t>
  </si>
  <si>
    <t>1.0143-1.0243</t>
  </si>
  <si>
    <t>1.0243-1.0343</t>
  </si>
  <si>
    <t>1.0343-1.0443</t>
  </si>
  <si>
    <t>1.0443-1.0543</t>
  </si>
  <si>
    <t>1.0543-1.0643</t>
  </si>
  <si>
    <t>1.0643-1.0743</t>
  </si>
  <si>
    <t>1.0743-1.0843</t>
  </si>
  <si>
    <t>1.0843-1.0943</t>
  </si>
  <si>
    <t>1.0943-1.1043</t>
  </si>
  <si>
    <t>1.1043-1.1143</t>
  </si>
  <si>
    <t>1.1143-1.1243</t>
  </si>
  <si>
    <t>1.1243-1.1343</t>
  </si>
  <si>
    <t>1.1343-1.1443</t>
  </si>
  <si>
    <t>UK</t>
  </si>
  <si>
    <t>United Kingdom</t>
  </si>
  <si>
    <t>NO</t>
  </si>
  <si>
    <t>Norway</t>
  </si>
  <si>
    <t>LY</t>
  </si>
  <si>
    <t>Libya</t>
  </si>
  <si>
    <t>400000, 500000, 650000</t>
  </si>
  <si>
    <t>30000, 50000, 70000</t>
  </si>
  <si>
    <t>150000, 200000, 220000</t>
  </si>
  <si>
    <t>10, 12, 14</t>
  </si>
  <si>
    <t>SY</t>
  </si>
  <si>
    <t>Syria</t>
  </si>
  <si>
    <t>ENG</t>
  </si>
  <si>
    <t>England</t>
  </si>
  <si>
    <t>England, United Kingdom</t>
  </si>
  <si>
    <t>SCT</t>
  </si>
  <si>
    <t>Scotland</t>
  </si>
  <si>
    <t>Scotland, United Kingdom</t>
  </si>
  <si>
    <t>NIR</t>
  </si>
  <si>
    <t>Northern Ireland</t>
  </si>
  <si>
    <t>Nothern Ireland, United Kingdom</t>
  </si>
  <si>
    <t>RIR</t>
  </si>
  <si>
    <t>Republic of Ireland</t>
  </si>
  <si>
    <t>Republic of Ireland, United Kingdrom</t>
  </si>
  <si>
    <t>DEN_CO</t>
  </si>
  <si>
    <t>Denver</t>
  </si>
  <si>
    <t>Denver, CO, United States</t>
  </si>
  <si>
    <t>MIS_ON</t>
  </si>
  <si>
    <t>Mississauga</t>
  </si>
  <si>
    <t>Mississauga, ON, Canada</t>
  </si>
  <si>
    <t>NL_CAN</t>
  </si>
  <si>
    <t>Newfoundland and Labrador</t>
  </si>
  <si>
    <t>Newfoundland and Labrador, Canda</t>
  </si>
  <si>
    <t>SJO_NL</t>
  </si>
  <si>
    <t>St. John's</t>
  </si>
  <si>
    <t>St. John's, NL, Canada</t>
  </si>
  <si>
    <t>FEDERAL</t>
  </si>
  <si>
    <t>USA</t>
  </si>
  <si>
    <t>TRI_LY</t>
  </si>
  <si>
    <t>Tripoli</t>
  </si>
  <si>
    <t>Tripoli, Libya</t>
  </si>
  <si>
    <t>ABE_SCT</t>
  </si>
  <si>
    <t>Aberdeen</t>
  </si>
  <si>
    <t>Aberdeen, Scotland, United Kingdom</t>
  </si>
  <si>
    <t>SCT_UK</t>
  </si>
  <si>
    <t>LON_ENG</t>
  </si>
  <si>
    <t>London</t>
  </si>
  <si>
    <t>London, England, United Kingdom</t>
  </si>
  <si>
    <t>ENG_UK</t>
  </si>
  <si>
    <t>SHI_SCT</t>
  </si>
  <si>
    <t>Shetland Islands</t>
  </si>
  <si>
    <t>Shetland Islands, Scotland, United Kingdom</t>
  </si>
  <si>
    <t>HOU_TX</t>
  </si>
  <si>
    <t>Houston</t>
  </si>
  <si>
    <t>Houston, TX, United States</t>
  </si>
  <si>
    <t>STR_NO</t>
  </si>
  <si>
    <t>Stavanger</t>
  </si>
  <si>
    <t>Stavanger, Norway</t>
  </si>
  <si>
    <t>RPL_ON</t>
  </si>
  <si>
    <t>Ripley</t>
  </si>
  <si>
    <t>Ripley, Ontario, Canada</t>
  </si>
  <si>
    <t>MGT_AB</t>
  </si>
  <si>
    <t>Magrath</t>
  </si>
  <si>
    <t>Magrath, Alberta, Canada</t>
  </si>
  <si>
    <t>STH_ON</t>
  </si>
  <si>
    <t>Strathroy</t>
  </si>
  <si>
    <t>Strathroy, Ontario, Canada</t>
  </si>
  <si>
    <t>FOR_ON</t>
  </si>
  <si>
    <t>Forest</t>
  </si>
  <si>
    <t>Forest, Ontario, Canada</t>
  </si>
  <si>
    <t>SUN01</t>
  </si>
  <si>
    <t>Suncor CAN</t>
  </si>
  <si>
    <t>ENR</t>
  </si>
  <si>
    <t>SUN02</t>
  </si>
  <si>
    <t>Suncor US</t>
  </si>
  <si>
    <t>SUN03</t>
  </si>
  <si>
    <t>Suncor UK</t>
  </si>
  <si>
    <t>SUN04</t>
  </si>
  <si>
    <t>Suncor NO</t>
  </si>
  <si>
    <t>SUN05</t>
  </si>
  <si>
    <t>Suncor LY</t>
  </si>
  <si>
    <t>SUN06</t>
  </si>
  <si>
    <t>Suncor SY</t>
  </si>
  <si>
    <t>Facility A</t>
  </si>
  <si>
    <t>Calgary, AB</t>
  </si>
  <si>
    <t>Facility AA</t>
  </si>
  <si>
    <t>Cheecham, AB</t>
  </si>
  <si>
    <t>C05_MB_CAN</t>
  </si>
  <si>
    <t>Facility AC</t>
  </si>
  <si>
    <t>Cromer, MB</t>
  </si>
  <si>
    <t>C09_AB_CAN</t>
  </si>
  <si>
    <t>Facility AG</t>
  </si>
  <si>
    <t>Sherwood Park, AB</t>
  </si>
  <si>
    <t>C10_AB_CAN</t>
  </si>
  <si>
    <t>Facility AH</t>
  </si>
  <si>
    <t>Fort McMurray, AB</t>
  </si>
  <si>
    <t>C12_BC_CAN</t>
  </si>
  <si>
    <t>Pipeline</t>
  </si>
  <si>
    <t>Fort St John, BC</t>
  </si>
  <si>
    <t>C13_MB_CAN</t>
  </si>
  <si>
    <t>Facility AK</t>
  </si>
  <si>
    <t>Gretna, MB</t>
  </si>
  <si>
    <t>C14_AB_CAN</t>
  </si>
  <si>
    <t>Facility B</t>
  </si>
  <si>
    <t>Hardisty, AB</t>
  </si>
  <si>
    <t>C18_SK_CAN</t>
  </si>
  <si>
    <t>Facility F</t>
  </si>
  <si>
    <t>Kerrobert, SK</t>
  </si>
  <si>
    <t>C19_AB_CAN</t>
  </si>
  <si>
    <t>Facility G</t>
  </si>
  <si>
    <t>Lethbridge, AB</t>
  </si>
  <si>
    <t>C21_QC_CAN</t>
  </si>
  <si>
    <t>Facility I</t>
  </si>
  <si>
    <t>Montreal, QC</t>
  </si>
  <si>
    <t>CAP_TRADE</t>
  </si>
  <si>
    <t>C22_QC_CAN</t>
  </si>
  <si>
    <t>Facility K</t>
  </si>
  <si>
    <t>C23_NT_CAN</t>
  </si>
  <si>
    <t>Facility L</t>
  </si>
  <si>
    <t>Norman Wells, NT</t>
  </si>
  <si>
    <t>C24_ON_CAN</t>
  </si>
  <si>
    <t>Facility M</t>
  </si>
  <si>
    <t>Ottawa, ON</t>
  </si>
  <si>
    <t>C27_QC_CAN</t>
  </si>
  <si>
    <t>Facility P</t>
  </si>
  <si>
    <t>Saint-Luc-de-Bellechasse, QC</t>
  </si>
  <si>
    <t>C31_SK_CAN</t>
  </si>
  <si>
    <t>Facility W</t>
  </si>
  <si>
    <t>Regina, SK</t>
  </si>
  <si>
    <t>C33_SK_CAN</t>
  </si>
  <si>
    <t>Facility Y</t>
  </si>
  <si>
    <t xml:space="preserve"> </t>
  </si>
  <si>
    <t>C34_ON_CAN</t>
  </si>
  <si>
    <t>Facility Z</t>
  </si>
  <si>
    <t>Thunder Bay, ON</t>
  </si>
  <si>
    <t>C35_AB_CAN</t>
  </si>
  <si>
    <t>Office</t>
  </si>
  <si>
    <t>Zama, AB</t>
  </si>
  <si>
    <t>C36_AB_CAN</t>
  </si>
  <si>
    <t>Edmonton, AB</t>
  </si>
  <si>
    <t>C37_AB_CAN</t>
  </si>
  <si>
    <t>C38_MB_CAN</t>
  </si>
  <si>
    <t>C39_AB_CAN</t>
  </si>
  <si>
    <t>C41_SK_CAN</t>
  </si>
  <si>
    <t>C43_ON_CAN</t>
  </si>
  <si>
    <t>Toronto, ON</t>
  </si>
  <si>
    <t>C45_SK_CAN</t>
  </si>
  <si>
    <t>C60_BC_CAN</t>
  </si>
  <si>
    <t>Facility BH</t>
  </si>
  <si>
    <t>C47_AB_CAN</t>
  </si>
  <si>
    <t>Facility BA</t>
  </si>
  <si>
    <t>C48_AB_CAN</t>
  </si>
  <si>
    <t>Facility BB</t>
  </si>
  <si>
    <t>C49_AB_CAN</t>
  </si>
  <si>
    <t>Facility BC</t>
  </si>
  <si>
    <t>C50_AB_CAN</t>
  </si>
  <si>
    <t>Facility BD</t>
  </si>
  <si>
    <t>C51_AB_CAN</t>
  </si>
  <si>
    <t>C52_AB_CAN</t>
  </si>
  <si>
    <t>C53_AB_CAN</t>
  </si>
  <si>
    <t>C54_AB_CAN</t>
  </si>
  <si>
    <t>Facility BE</t>
  </si>
  <si>
    <t>Carmangay, AB</t>
  </si>
  <si>
    <t>C55_AB_CAN</t>
  </si>
  <si>
    <t>Facility BF</t>
  </si>
  <si>
    <t>C56_AB_CAN</t>
  </si>
  <si>
    <t>Facility BG</t>
  </si>
  <si>
    <t>Taber, AB</t>
  </si>
  <si>
    <t>C61_BC_CAN</t>
  </si>
  <si>
    <t>Facility BI</t>
  </si>
  <si>
    <t>C62_BC_CAN</t>
  </si>
  <si>
    <t>Facility BJ</t>
  </si>
  <si>
    <t>Dawson Creek, BC</t>
  </si>
  <si>
    <t>C57_AB_CAN</t>
  </si>
  <si>
    <t>C58_AB_CAN</t>
  </si>
  <si>
    <t>Facility BK</t>
  </si>
  <si>
    <t>Whitecourt, AB</t>
  </si>
  <si>
    <t>C59_AB_CAN</t>
  </si>
  <si>
    <t>Facility BN</t>
  </si>
  <si>
    <t>Peace River Arch, AB</t>
  </si>
  <si>
    <t>C63_SK_CAN</t>
  </si>
  <si>
    <t>Facility BM</t>
  </si>
  <si>
    <t>Loreburn, SK</t>
  </si>
  <si>
    <t>C64_SK_CAN</t>
  </si>
  <si>
    <t>Estin, SK</t>
  </si>
  <si>
    <t>C65_SK_CAN</t>
  </si>
  <si>
    <t>Facility BO</t>
  </si>
  <si>
    <t>Alameda, SK</t>
  </si>
  <si>
    <t>C66_SK_CAN</t>
  </si>
  <si>
    <t>Facility BP</t>
  </si>
  <si>
    <t>Gull Lake, SK</t>
  </si>
  <si>
    <t>C67_ON_CAN</t>
  </si>
  <si>
    <t>Facility BL</t>
  </si>
  <si>
    <t>Kincardine, ON</t>
  </si>
  <si>
    <t>C68_ON_CAN</t>
  </si>
  <si>
    <t>Facility BQ</t>
  </si>
  <si>
    <t>Washago, ON</t>
  </si>
  <si>
    <t>C69_ON_CAN</t>
  </si>
  <si>
    <t>Facility CA</t>
  </si>
  <si>
    <t>C70_ON_CAN</t>
  </si>
  <si>
    <t>Facility CB</t>
  </si>
  <si>
    <t>C71_ON_CAN</t>
  </si>
  <si>
    <t>Facility CC</t>
  </si>
  <si>
    <t>Sarnia, ON</t>
  </si>
  <si>
    <t>C72_QC_CAN</t>
  </si>
  <si>
    <t>Facility CF</t>
  </si>
  <si>
    <t>Bas-Saint-Laurent, QC</t>
  </si>
  <si>
    <t>C73_QC_CAN</t>
  </si>
  <si>
    <t>Facility CG</t>
  </si>
  <si>
    <t>C75_NV_US</t>
  </si>
  <si>
    <t>Facility DA</t>
  </si>
  <si>
    <t>C76_WA_US</t>
  </si>
  <si>
    <t>Blaine, WA</t>
  </si>
  <si>
    <t>C77_OR_US</t>
  </si>
  <si>
    <t>Portland,  OR</t>
  </si>
  <si>
    <t>C78_OR_US</t>
  </si>
  <si>
    <t>Facility DB</t>
  </si>
  <si>
    <t>Malheur County, OR</t>
  </si>
  <si>
    <t>C79_MT_US</t>
  </si>
  <si>
    <t>Great Falls, MT</t>
  </si>
  <si>
    <t>C80_ND_US</t>
  </si>
  <si>
    <t>Berthold, ND</t>
  </si>
  <si>
    <t>C81_ND_US</t>
  </si>
  <si>
    <t>Beaver Lodge, ND</t>
  </si>
  <si>
    <t>C82_MT_US</t>
  </si>
  <si>
    <t>Plentywood, MT</t>
  </si>
  <si>
    <t>C83_MN_US</t>
  </si>
  <si>
    <t>Clearbrook, MN</t>
  </si>
  <si>
    <t>C84_ND_US</t>
  </si>
  <si>
    <t>Minot, ND</t>
  </si>
  <si>
    <t>C85_WI_US</t>
  </si>
  <si>
    <t>Superior, WI</t>
  </si>
  <si>
    <t>C86_IL_US</t>
  </si>
  <si>
    <t>Manhattan, IL</t>
  </si>
  <si>
    <t>C87_IL_US</t>
  </si>
  <si>
    <t>Channahon, IL</t>
  </si>
  <si>
    <t>C88_IL_US</t>
  </si>
  <si>
    <t>C89_IN_US</t>
  </si>
  <si>
    <t>Griffith, IN</t>
  </si>
  <si>
    <t>C90_IN_US</t>
  </si>
  <si>
    <t>Schererville, IN</t>
  </si>
  <si>
    <t>C91_IL_US</t>
  </si>
  <si>
    <t>Pontiac, IL</t>
  </si>
  <si>
    <t>C92_MI_US</t>
  </si>
  <si>
    <t>Stockbridge, MI</t>
  </si>
  <si>
    <t>C93_IL_US</t>
  </si>
  <si>
    <t>Joliet, IL</t>
  </si>
  <si>
    <t>C94_IN_US</t>
  </si>
  <si>
    <t>Elwood, IN</t>
  </si>
  <si>
    <t>C95_NH_US</t>
  </si>
  <si>
    <t>Pittsburg, NH</t>
  </si>
  <si>
    <t>C96_ME_US</t>
  </si>
  <si>
    <t>Westbrook, ME</t>
  </si>
  <si>
    <t>C97_OK_US</t>
  </si>
  <si>
    <t>Cushing, OK</t>
  </si>
  <si>
    <t>C98_TX_US</t>
  </si>
  <si>
    <t>Pampa, TX</t>
  </si>
  <si>
    <t>C99_CO_US</t>
  </si>
  <si>
    <t>Limon, CO</t>
  </si>
  <si>
    <t>C100_TX_US</t>
  </si>
  <si>
    <t>Jack County, TX</t>
  </si>
  <si>
    <t>C101_MS_US</t>
  </si>
  <si>
    <t>Petal, MS</t>
  </si>
  <si>
    <t>C102_TX_US</t>
  </si>
  <si>
    <t>Harligen, TX</t>
  </si>
  <si>
    <t>MKR_AB_CAN</t>
  </si>
  <si>
    <t>OLS</t>
  </si>
  <si>
    <t>FTH_AB_CAN</t>
  </si>
  <si>
    <t>SYN_AB_CAN</t>
  </si>
  <si>
    <t>FRB_AB_CAN</t>
  </si>
  <si>
    <t>BPM_AB_CAN</t>
  </si>
  <si>
    <t>EDM_AB_CAN</t>
  </si>
  <si>
    <t>CAL_AB_CAN</t>
  </si>
  <si>
    <t>Head Quarters</t>
  </si>
  <si>
    <t>SAR_ON_CAN</t>
  </si>
  <si>
    <t>REF</t>
  </si>
  <si>
    <t>MIS01_ON_CAN</t>
  </si>
  <si>
    <t>Mississauga, ON</t>
  </si>
  <si>
    <t>MIS02_ON_CAN</t>
  </si>
  <si>
    <t>MON_QC_CAN</t>
  </si>
  <si>
    <t>SUL</t>
  </si>
  <si>
    <t>HIB_NL_CAN</t>
  </si>
  <si>
    <t>Exploration</t>
  </si>
  <si>
    <t>St. John's, NL</t>
  </si>
  <si>
    <t>UOG</t>
  </si>
  <si>
    <t>SJO_NL_CAN</t>
  </si>
  <si>
    <t>HEB_NL_CAN</t>
  </si>
  <si>
    <t>WHR_NL_CAN</t>
  </si>
  <si>
    <t>TER_NL_CAN</t>
  </si>
  <si>
    <t>DEN01_CO_US</t>
  </si>
  <si>
    <t>Denver, CO</t>
  </si>
  <si>
    <t>DEN02_CO_US</t>
  </si>
  <si>
    <t>HOU_TX_US</t>
  </si>
  <si>
    <t>Houston, TX</t>
  </si>
  <si>
    <t>LON_ENG_UK</t>
  </si>
  <si>
    <t>London, ENG</t>
  </si>
  <si>
    <t>ABE_SCT_UK</t>
  </si>
  <si>
    <t>Aberdeen, SCT</t>
  </si>
  <si>
    <t>SHI01_SCT_UK</t>
  </si>
  <si>
    <t>Shetland Islands, SCT</t>
  </si>
  <si>
    <t>SHI02_SCT_UK</t>
  </si>
  <si>
    <t>NO01</t>
  </si>
  <si>
    <t>NO02</t>
  </si>
  <si>
    <t>TRI01_LY</t>
  </si>
  <si>
    <t>Tripoli, LY</t>
  </si>
  <si>
    <t>TRI02_LY</t>
  </si>
  <si>
    <t>SY01</t>
  </si>
  <si>
    <t>SY02</t>
  </si>
  <si>
    <t>RPL_ON_CAN</t>
  </si>
  <si>
    <t>Ripley, ON</t>
  </si>
  <si>
    <t>TAB_AB_CAN</t>
  </si>
  <si>
    <t>MGT_AB_CAN</t>
  </si>
  <si>
    <t>Magrath, AB</t>
  </si>
  <si>
    <t>GLK_SK_CAN</t>
  </si>
  <si>
    <t>STH_ON_CAN</t>
  </si>
  <si>
    <t>Strathroy, ON</t>
  </si>
  <si>
    <t>FOR_ON_CAN</t>
  </si>
  <si>
    <t>Forest, ON</t>
  </si>
  <si>
    <t>IC02</t>
  </si>
  <si>
    <t>Percentage</t>
  </si>
  <si>
    <t>IC02_0</t>
  </si>
  <si>
    <t>150000, 200000, 450000</t>
  </si>
  <si>
    <t>IC02_1</t>
  </si>
  <si>
    <t>80000, 100000, 150000</t>
  </si>
  <si>
    <t>IC02_2</t>
  </si>
  <si>
    <t>50000, 80000, 120000</t>
  </si>
  <si>
    <t>IC02_3</t>
  </si>
  <si>
    <t>30000, 50000, 90000</t>
  </si>
  <si>
    <t>IC02_4</t>
  </si>
  <si>
    <t>25000, 35000, 55000</t>
  </si>
  <si>
    <t>IC02_5</t>
  </si>
  <si>
    <t>10000, 20000, 35000</t>
  </si>
  <si>
    <t>IC03_0</t>
  </si>
  <si>
    <t>50000, 100000, 150000</t>
  </si>
  <si>
    <t>IC03_1</t>
  </si>
  <si>
    <t>25000, 50000, 75000</t>
  </si>
  <si>
    <t>IC03_2</t>
  </si>
  <si>
    <t>5000, 10000, 15000</t>
  </si>
  <si>
    <t>IC03_3</t>
  </si>
  <si>
    <t>500, 5000, 20000</t>
  </si>
  <si>
    <t>IC05</t>
  </si>
  <si>
    <t>IC09_0</t>
  </si>
  <si>
    <t>IC09_1</t>
  </si>
  <si>
    <t>20000, 30000, 40000</t>
  </si>
  <si>
    <t>IC09_2</t>
  </si>
  <si>
    <t>15000, 20000, 30000</t>
  </si>
  <si>
    <t>IC09_3</t>
  </si>
  <si>
    <t>10000, 17000, 30000</t>
  </si>
  <si>
    <t>IC09_4</t>
  </si>
  <si>
    <t>7000, 14000, 20000</t>
  </si>
  <si>
    <t>IC10_0</t>
  </si>
  <si>
    <t>20000, 40000, 50000</t>
  </si>
  <si>
    <t>IC10_1</t>
  </si>
  <si>
    <t>IC10_2</t>
  </si>
  <si>
    <t>15000, 22000, 30000</t>
  </si>
  <si>
    <t>IC10_3</t>
  </si>
  <si>
    <t>10000, 17000, 25000</t>
  </si>
  <si>
    <t>IC10_4</t>
  </si>
  <si>
    <t>IC100</t>
  </si>
  <si>
    <t>2000, 3000, 4200</t>
  </si>
  <si>
    <t>10000, 15000, 20000</t>
  </si>
  <si>
    <t>IC101</t>
  </si>
  <si>
    <t>100000, 200000, 350000</t>
  </si>
  <si>
    <t>IC102</t>
  </si>
  <si>
    <t>IC12</t>
  </si>
  <si>
    <t>IC13</t>
  </si>
  <si>
    <t>IC14_0</t>
  </si>
  <si>
    <t>20000, 30000, 50000</t>
  </si>
  <si>
    <t>IC14_1</t>
  </si>
  <si>
    <t>10000, 20000, 30000</t>
  </si>
  <si>
    <t>IC14_2</t>
  </si>
  <si>
    <t>10000, 17000, 27000</t>
  </si>
  <si>
    <t>IC14_3</t>
  </si>
  <si>
    <t>6000, 15000, 25000</t>
  </si>
  <si>
    <t>IC14_4</t>
  </si>
  <si>
    <t>5000, 10000, 20000</t>
  </si>
  <si>
    <t>IC18</t>
  </si>
  <si>
    <t>180000, 200000, 350000</t>
  </si>
  <si>
    <t>IC19_0</t>
  </si>
  <si>
    <t>IC19_1</t>
  </si>
  <si>
    <t>4000, 8000, 17000</t>
  </si>
  <si>
    <t>IC19_2</t>
  </si>
  <si>
    <t>3000, 7000, 15000</t>
  </si>
  <si>
    <t>IC21</t>
  </si>
  <si>
    <t>IC22</t>
  </si>
  <si>
    <t>IC23</t>
  </si>
  <si>
    <t>3000, 25000, 240000</t>
  </si>
  <si>
    <t>IC24</t>
  </si>
  <si>
    <t>15000, 20000, 45000</t>
  </si>
  <si>
    <t>IC27</t>
  </si>
  <si>
    <t>3000, 6000, 12000</t>
  </si>
  <si>
    <t>IC31</t>
  </si>
  <si>
    <t>2000, 3000, 4000</t>
  </si>
  <si>
    <t>IC33</t>
  </si>
  <si>
    <t>7000, 15000, 24000</t>
  </si>
  <si>
    <t>IC34</t>
  </si>
  <si>
    <t>IC35_0</t>
  </si>
  <si>
    <t>10000, 15000, 27000</t>
  </si>
  <si>
    <t>IC35_1</t>
  </si>
  <si>
    <t>10000, 15000, 25000</t>
  </si>
  <si>
    <t>IC35_2</t>
  </si>
  <si>
    <t>7000, 10000, 18000</t>
  </si>
  <si>
    <t>IC36</t>
  </si>
  <si>
    <t>IC37_0</t>
  </si>
  <si>
    <t>500, 1500, 3500</t>
  </si>
  <si>
    <t>IC37_1</t>
  </si>
  <si>
    <t>1000, 2500, 5000</t>
  </si>
  <si>
    <t>IC37_2</t>
  </si>
  <si>
    <t>2000, 5000, 7000</t>
  </si>
  <si>
    <t>IC38</t>
  </si>
  <si>
    <t>IC39_0</t>
  </si>
  <si>
    <t>IC39_1</t>
  </si>
  <si>
    <t>IC39_2</t>
  </si>
  <si>
    <t>IC41</t>
  </si>
  <si>
    <t>IC43</t>
  </si>
  <si>
    <t>IC45</t>
  </si>
  <si>
    <t>IC47_0</t>
  </si>
  <si>
    <t>IC47_1</t>
  </si>
  <si>
    <t>1000, 3000, 6000</t>
  </si>
  <si>
    <t>IC47_2</t>
  </si>
  <si>
    <t>2000, 5000, 8000</t>
  </si>
  <si>
    <t>IC47_3</t>
  </si>
  <si>
    <t>7000, 15000, 30000</t>
  </si>
  <si>
    <t>IC48_0</t>
  </si>
  <si>
    <t>IC48_1</t>
  </si>
  <si>
    <t>IC48_2</t>
  </si>
  <si>
    <t>IC49</t>
  </si>
  <si>
    <t>IC50</t>
  </si>
  <si>
    <t>IC51</t>
  </si>
  <si>
    <t>IC52</t>
  </si>
  <si>
    <t>IC53</t>
  </si>
  <si>
    <t>1000, 2000, 5000</t>
  </si>
  <si>
    <t>IC54</t>
  </si>
  <si>
    <t>1000, 3000, 5000</t>
  </si>
  <si>
    <t>IC55</t>
  </si>
  <si>
    <t>2000, 4000, 7000</t>
  </si>
  <si>
    <t>IC56_0</t>
  </si>
  <si>
    <t>500, 1000, 1500</t>
  </si>
  <si>
    <t>IC56_1</t>
  </si>
  <si>
    <t>2000, 4000, 6000</t>
  </si>
  <si>
    <t>IC56_2</t>
  </si>
  <si>
    <t>IC57</t>
  </si>
  <si>
    <t>IC58</t>
  </si>
  <si>
    <t>IC59_0</t>
  </si>
  <si>
    <t>300000, 500000, 700000</t>
  </si>
  <si>
    <t>IC59_1</t>
  </si>
  <si>
    <t>300000, 400000, 500000</t>
  </si>
  <si>
    <t>IC59_2</t>
  </si>
  <si>
    <t>150000, 200000, 350000</t>
  </si>
  <si>
    <t>IC59_3</t>
  </si>
  <si>
    <t>100000, 150000, 250000</t>
  </si>
  <si>
    <t>IC59_4</t>
  </si>
  <si>
    <t>70000, 100000, 150000</t>
  </si>
  <si>
    <t>IC59_5</t>
  </si>
  <si>
    <t>40000, 80000, 100000</t>
  </si>
  <si>
    <t>IC60</t>
  </si>
  <si>
    <t>IC61</t>
  </si>
  <si>
    <t>IC62</t>
  </si>
  <si>
    <t>IC63</t>
  </si>
  <si>
    <t>IC64</t>
  </si>
  <si>
    <t>IC65</t>
  </si>
  <si>
    <t>60000, 210000, 400000</t>
  </si>
  <si>
    <t>IC66</t>
  </si>
  <si>
    <t>IC67</t>
  </si>
  <si>
    <t>IC68</t>
  </si>
  <si>
    <t>IC69</t>
  </si>
  <si>
    <t>IC70</t>
  </si>
  <si>
    <t>IC71</t>
  </si>
  <si>
    <t>IC72</t>
  </si>
  <si>
    <t>IC73</t>
  </si>
  <si>
    <t>IC75</t>
  </si>
  <si>
    <t>3000, 5000, 7000</t>
  </si>
  <si>
    <t>IC76</t>
  </si>
  <si>
    <t>IC77</t>
  </si>
  <si>
    <t>IC78</t>
  </si>
  <si>
    <t>6000, 9000, 14000</t>
  </si>
  <si>
    <t>IC79</t>
  </si>
  <si>
    <t>15000, 25000, 50000</t>
  </si>
  <si>
    <t>IC80</t>
  </si>
  <si>
    <t>7000, 11000, 16000</t>
  </si>
  <si>
    <t>IC81</t>
  </si>
  <si>
    <t>IC82</t>
  </si>
  <si>
    <t>IC83</t>
  </si>
  <si>
    <t>IC84</t>
  </si>
  <si>
    <t>IC85</t>
  </si>
  <si>
    <t>4000, 8000, 15000</t>
  </si>
  <si>
    <t>IC86</t>
  </si>
  <si>
    <t>IC87</t>
  </si>
  <si>
    <t>25000, 40000, 100000</t>
  </si>
  <si>
    <t>IC88</t>
  </si>
  <si>
    <t>10000, 12000, 15000</t>
  </si>
  <si>
    <t>IC89</t>
  </si>
  <si>
    <t>IC90</t>
  </si>
  <si>
    <t>17000, 23000, 34000</t>
  </si>
  <si>
    <t>IC91</t>
  </si>
  <si>
    <t>20000, 40000, 65000</t>
  </si>
  <si>
    <t>IC92</t>
  </si>
  <si>
    <t>IC93</t>
  </si>
  <si>
    <t>200000, 300000, 400000</t>
  </si>
  <si>
    <t>IC94</t>
  </si>
  <si>
    <t>1000, 3500, 6000</t>
  </si>
  <si>
    <t>IC95</t>
  </si>
  <si>
    <t>IC96</t>
  </si>
  <si>
    <t>100000, 120000, 150000</t>
  </si>
  <si>
    <t>IC97</t>
  </si>
  <si>
    <t>12000, 17000, 30000</t>
  </si>
  <si>
    <t>IC98</t>
  </si>
  <si>
    <t>25000, 50000, 100000</t>
  </si>
  <si>
    <t>IC99</t>
  </si>
  <si>
    <t>1000, 1600, 2300</t>
  </si>
  <si>
    <t>10000, 20000, 50000</t>
  </si>
  <si>
    <t>1000000, 1500000, 2000000</t>
  </si>
  <si>
    <t>400000, 700000, 900000</t>
  </si>
  <si>
    <t>4000000, 5000000, 6000000</t>
  </si>
  <si>
    <t>40000, 50000, 80000</t>
  </si>
  <si>
    <t>0</t>
  </si>
  <si>
    <t>20000, 30000, 60000</t>
  </si>
  <si>
    <t>900000, 1000000, 1400000</t>
  </si>
  <si>
    <t>800000, 1000000, 1200000</t>
  </si>
  <si>
    <t>100000, 200000, 300000</t>
  </si>
  <si>
    <t>400000, 500000, 700000</t>
  </si>
  <si>
    <t>400000, 500000, 600000</t>
  </si>
  <si>
    <t>400000, 450000, 550000</t>
  </si>
  <si>
    <t>10000, 20000, 40000</t>
  </si>
  <si>
    <t>500000, 750000, 1000000</t>
  </si>
  <si>
    <t>400000, 600000, 750000</t>
  </si>
  <si>
    <t>700000, 1000000, 1500000</t>
  </si>
  <si>
    <t>5000000, 6000000, 7000000</t>
  </si>
  <si>
    <t>700000, 800000, 900000</t>
  </si>
  <si>
    <t>300000, 500000, 650000</t>
  </si>
  <si>
    <t>500000, 700000, 800000</t>
  </si>
  <si>
    <t>200000, 400000, 550000</t>
  </si>
  <si>
    <t>100000, 300000, 450000</t>
  </si>
  <si>
    <t>100000, 300000, 400000</t>
  </si>
  <si>
    <t>600000, 900000, 1300000</t>
  </si>
  <si>
    <t>500000, 800000, 1100000</t>
  </si>
  <si>
    <t>400000, 700000, 1000000</t>
  </si>
  <si>
    <t>400000, 600000, 900000</t>
  </si>
  <si>
    <t>3000000, 4000000, 5000000</t>
  </si>
  <si>
    <t>2000000, 3000000, 4000000</t>
  </si>
  <si>
    <t>1000000, 2000000, 3000000</t>
  </si>
  <si>
    <t>600000, 700000, 800000</t>
  </si>
  <si>
    <t>500000, 600000, 800000</t>
  </si>
  <si>
    <t>900000, 1200000, 1400000</t>
  </si>
  <si>
    <t>50000, 60000, 70000</t>
  </si>
  <si>
    <t>2200, 2500, 3000</t>
  </si>
  <si>
    <t>80000, 90000, 100000</t>
  </si>
  <si>
    <t>200000, 225000, 250000</t>
  </si>
  <si>
    <t>Energy</t>
  </si>
  <si>
    <t>Upstream Oil and Gas</t>
  </si>
  <si>
    <t>Oil Sands</t>
  </si>
  <si>
    <t>Refinary</t>
  </si>
  <si>
    <t>Sulfur</t>
  </si>
  <si>
    <t>US Federal Tax</t>
  </si>
  <si>
    <t>CAN_AB</t>
  </si>
  <si>
    <t>CAN_ON</t>
  </si>
  <si>
    <t>CAN_QC</t>
  </si>
  <si>
    <t>CAN_NL</t>
  </si>
  <si>
    <t>AB Allowance</t>
  </si>
  <si>
    <t>US_CO</t>
  </si>
  <si>
    <t>US_TX</t>
  </si>
  <si>
    <t>UK_ENG</t>
  </si>
  <si>
    <t>UK_SCT</t>
  </si>
  <si>
    <t>CAN_SK</t>
  </si>
  <si>
    <t>ON Cap_And_Trade</t>
  </si>
  <si>
    <t>QC Cap_And_Trade</t>
  </si>
  <si>
    <t>CO Allowance</t>
  </si>
  <si>
    <t>TX Allowance</t>
  </si>
  <si>
    <t>ENG Allowance</t>
  </si>
  <si>
    <t>SCT Allowance</t>
  </si>
  <si>
    <t>SK Allowance</t>
  </si>
  <si>
    <t>NL Allowance</t>
  </si>
  <si>
    <t>Allowance</t>
  </si>
  <si>
    <t>FED_NO</t>
  </si>
  <si>
    <t>FED_LY</t>
  </si>
  <si>
    <t>FED_SY</t>
  </si>
  <si>
    <t>FED_UK</t>
  </si>
  <si>
    <t>Auto Stop</t>
  </si>
  <si>
    <t>Iterations</t>
  </si>
  <si>
    <t>Maximum Run Duration</t>
  </si>
  <si>
    <t>Exchange Rate</t>
  </si>
  <si>
    <t>Year</t>
  </si>
  <si>
    <t>Month</t>
  </si>
  <si>
    <t>Factor (Barrel)</t>
  </si>
  <si>
    <t>1</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</si>
  <si>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</si>
  <si>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</si>
  <si>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</si>
  <si>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</si>
  <si>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</si>
  <si>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</si>
  <si>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</si>
  <si>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</si>
  <si>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</si>
  <si>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</si>
  <si>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</si>
  <si>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</si>
  <si>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</si>
  <si>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</si>
  <si>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</si>
  <si>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</si>
  <si>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</si>
  <si>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</si>
  <si>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</si>
  <si>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</si>
  <si>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</si>
  <si>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</si>
  <si>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</si>
  <si>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</si>
  <si>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</si>
  <si>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</si>
  <si>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</si>
  <si>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</si>
  <si>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</si>
  <si>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</si>
  <si>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</si>
  <si>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</si>
  <si>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</si>
  <si>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</si>
  <si>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</si>
  <si>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</si>
  <si>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</si>
  <si>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</si>
  <si>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</si>
  <si>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</si>
  <si>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</si>
  <si>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</si>
  <si>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Secure Energy</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</si>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</sst>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_ ;[Red]\-#,##0.00\ "/>
    <numFmt numFmtId="165" formatCode="[$-409]mmmm\ d\,\ yyyy;@"/>
    <numFmt numFmtId="166" formatCode="#,##0.000"/>
    <numFmt numFmtId="167" formatCode="_(* #,##0_);_(* \(#,##0\);_(* &quot;-&quot;??_);_(@_)"/>
  </numFmts>
  <fonts count="20">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14"/>
      <color theme="1"/>
      <name val="Calibri"/>
      <family val="2"/>
      <scheme val="minor"/>
    </font>
    <font>
      <b/>
      <sz val="26"/>
      <color theme="5"/>
      <name val="Calibri"/>
      <family val="2"/>
      <scheme val="minor"/>
    </font>
    <font>
      <sz val="11"/>
      <color theme="1"/>
      <name val="Calibri"/>
      <family val="2"/>
      <scheme val="minor"/>
    </font>
    <font>
      <sz val="11"/>
      <name val="Calibri"/>
      <family val="2"/>
    </font>
    <font>
      <sz val="11"/>
      <name val="Calibri"/>
      <family val="2"/>
      <scheme val="minor"/>
    </font>
    <font>
      <sz val="11"/>
      <name val="Calibri"/>
      <family val="2"/>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3">
    <xf numFmtId="0" fontId="0" fillId="0" borderId="0"/>
    <xf numFmtId="165" fontId="5" fillId="0" borderId="0"/>
    <xf numFmtId="43" fontId="10" fillId="0" borderId="0" applyFont="0" applyFill="0" applyBorder="0" applyAlignment="0" applyProtection="0"/>
  </cellStyleXfs>
  <cellXfs count="103">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0" xfId="0" applyNumberFormat="1" applyAlignment="1">
      <alignment horizontal="left" vertical="center"/>
    </xf>
    <xf numFmtId="0" fontId="8" fillId="0" borderId="1" xfId="0" applyFont="1" applyBorder="1"/>
    <xf numFmtId="0" fontId="7" fillId="0" borderId="0" xfId="0" applyNumberFormat="1" applyFont="1"/>
    <xf numFmtId="0" fontId="0" fillId="0" borderId="1" xfId="0" applyBorder="1" applyAlignment="1">
      <alignment horizontal="center"/>
    </xf>
    <xf numFmtId="0" fontId="6" fillId="0" borderId="0" xfId="0" applyNumberFormat="1" applyFont="1" applyAlignment="1">
      <alignment horizontal="center" vertical="center" wrapText="1"/>
    </xf>
    <xf numFmtId="0" fontId="0" fillId="0" borderId="0" xfId="0" applyNumberFormat="1" applyAlignment="1">
      <alignment horizontal="left" vertical="top" wrapText="1"/>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12" fillId="0" borderId="0" xfId="0" applyNumberFormat="1" applyFont="1" applyAlignment="1" applyProtection="1">
      <alignment horizontal="center" wrapText="1"/>
      <protection hidden="1"/>
    </xf>
    <xf numFmtId="0" fontId="9"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10" fillId="0" borderId="0" xfId="0" applyNumberFormat="1" applyFont="1" applyAlignment="1">
      <alignment horizontal="center"/>
    </xf>
    <xf numFmtId="0" fontId="0" fillId="0" borderId="0" xfId="0" applyFill="1" applyBorder="1" applyProtection="1"/>
    <xf numFmtId="0" fontId="0" fillId="0" borderId="0" xfId="0" applyProtection="1"/>
    <xf numFmtId="0" fontId="0" fillId="0" borderId="0" xfId="0" applyAlignment="1" applyProtection="1">
      <alignment horizontal="center"/>
    </xf>
    <xf numFmtId="0" fontId="0" fillId="3" borderId="0" xfId="0" applyFill="1" applyProtection="1"/>
    <xf numFmtId="0" fontId="0" fillId="0" borderId="1" xfId="0" applyBorder="1" applyProtection="1"/>
    <xf numFmtId="0" fontId="0" fillId="0" borderId="1" xfId="0" applyBorder="1" applyAlignment="1" applyProtection="1">
      <alignment horizontal="center"/>
    </xf>
    <xf numFmtId="0" fontId="6" fillId="0" borderId="0" xfId="0" applyNumberFormat="1" applyFont="1" applyAlignment="1" applyProtection="1">
      <alignment horizontal="center" vertical="top" wrapText="1"/>
    </xf>
    <xf numFmtId="0" fontId="0" fillId="0" borderId="0" xfId="0" applyNumberFormat="1" applyAlignment="1" applyProtection="1">
      <alignment horizontal="center" vertical="top" wrapText="1"/>
    </xf>
    <xf numFmtId="0" fontId="0" fillId="0" borderId="0" xfId="0" applyAlignment="1" applyProtection="1">
      <alignment wrapText="1"/>
    </xf>
    <xf numFmtId="0" fontId="11" fillId="0" borderId="0" xfId="0" applyNumberFormat="1" applyFont="1" applyAlignment="1" applyProtection="1">
      <alignment horizontal="center"/>
    </xf>
    <xf numFmtId="0" fontId="1" fillId="0" borderId="0" xfId="0" applyNumberFormat="1" applyFont="1" applyFill="1" applyAlignment="1" applyProtection="1">
      <alignment horizontal="center"/>
    </xf>
    <xf numFmtId="2" fontId="11" fillId="0" borderId="0" xfId="0" applyNumberFormat="1" applyFont="1" applyAlignment="1" applyProtection="1">
      <alignment horizontal="center"/>
    </xf>
    <xf numFmtId="0" fontId="11" fillId="0" borderId="0" xfId="0" applyNumberFormat="1" applyFont="1" applyProtection="1"/>
    <xf numFmtId="0" fontId="13" fillId="0" borderId="0" xfId="0" applyNumberFormat="1" applyFont="1" applyAlignment="1" applyProtection="1">
      <alignment horizontal="center"/>
    </xf>
    <xf numFmtId="0" fontId="0" fillId="2" borderId="0" xfId="0" applyNumberFormat="1" applyFill="1" applyProtection="1"/>
    <xf numFmtId="1" fontId="15"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left"/>
    </xf>
    <xf numFmtId="166" fontId="11" fillId="0" borderId="0" xfId="0" applyNumberFormat="1" applyFont="1" applyAlignment="1" applyProtection="1">
      <alignment horizontal="center"/>
    </xf>
    <xf numFmtId="10" fontId="11" fillId="0" borderId="0" xfId="0" applyNumberFormat="1" applyFont="1" applyAlignment="1" applyProtection="1">
      <alignment horizontal="center"/>
    </xf>
    <xf numFmtId="0" fontId="16" fillId="0" borderId="0" xfId="0" applyNumberFormat="1" applyFont="1" applyAlignment="1">
      <alignment horizontal="left"/>
    </xf>
    <xf numFmtId="0" fontId="3" fillId="0" borderId="0" xfId="0" applyFont="1" applyProtection="1"/>
    <xf numFmtId="0" fontId="16" fillId="0" borderId="0" xfId="0" applyNumberFormat="1" applyFont="1" applyAlignment="1">
      <alignment horizontal="center"/>
    </xf>
    <xf numFmtId="14" fontId="16" fillId="0" borderId="0" xfId="0" applyNumberFormat="1" applyFont="1" applyAlignment="1">
      <alignment horizontal="center"/>
    </xf>
    <xf numFmtId="0" fontId="17" fillId="0" borderId="0" xfId="0" applyNumberFormat="1" applyFont="1" applyAlignment="1" applyProtection="1">
      <alignment horizontal="center" wrapText="1"/>
      <protection hidden="1"/>
    </xf>
    <xf numFmtId="0" fontId="17" fillId="0" borderId="0" xfId="0" applyNumberFormat="1" applyFont="1" applyFill="1" applyAlignment="1" applyProtection="1">
      <alignment horizontal="center" vertical="center" wrapText="1"/>
      <protection hidden="1"/>
    </xf>
    <xf numFmtId="0" fontId="16" fillId="0" borderId="0" xfId="0" applyNumberFormat="1" applyFont="1" applyAlignment="1">
      <alignment horizontal="center" vertical="center"/>
    </xf>
    <xf numFmtId="2" fontId="16" fillId="0" borderId="0" xfId="0" applyNumberFormat="1" applyFont="1" applyAlignment="1">
      <alignment horizontal="center" vertical="center"/>
    </xf>
    <xf numFmtId="0" fontId="16" fillId="0" borderId="0" xfId="0" applyNumberFormat="1" applyFont="1"/>
    <xf numFmtId="0" fontId="7" fillId="0" borderId="0" xfId="0" applyNumberFormat="1" applyFont="1" applyAlignment="1">
      <alignment horizontal="right"/>
    </xf>
    <xf numFmtId="0" fontId="16" fillId="0" borderId="0" xfId="0" applyNumberFormat="1" applyFont="1" applyAlignment="1">
      <alignment horizontal="right"/>
    </xf>
    <xf numFmtId="14" fontId="1" fillId="0" borderId="0" xfId="0" applyNumberFormat="1" applyFont="1" applyAlignment="1">
      <alignment horizontal="center"/>
    </xf>
    <xf numFmtId="0" fontId="1" fillId="0" borderId="0" xfId="0" applyNumberFormat="1" applyFont="1" applyAlignment="1" applyProtection="1">
      <alignment horizontal="center"/>
    </xf>
    <xf numFmtId="0" fontId="0" fillId="0" borderId="1" xfId="0" applyBorder="1" applyAlignment="1">
      <alignment horizontal="left"/>
    </xf>
    <xf numFmtId="0" fontId="16" fillId="0" borderId="0" xfId="0" applyNumberFormat="1" applyFont="1" applyBorder="1" applyAlignment="1">
      <alignment horizontal="center"/>
    </xf>
    <xf numFmtId="0" fontId="17" fillId="0" borderId="0" xfId="0" applyNumberFormat="1" applyFont="1" applyBorder="1" applyAlignment="1" applyProtection="1">
      <alignment horizontal="center" wrapText="1"/>
      <protection hidden="1"/>
    </xf>
    <xf numFmtId="0" fontId="16" fillId="0" borderId="0" xfId="0" applyNumberFormat="1" applyFont="1" applyBorder="1" applyAlignment="1">
      <alignment horizontal="left"/>
    </xf>
    <xf numFmtId="0" fontId="1" fillId="0" borderId="0" xfId="0" applyNumberFormat="1" applyFont="1" applyBorder="1" applyAlignment="1">
      <alignment horizontal="center" vertical="center"/>
    </xf>
    <xf numFmtId="0" fontId="1" fillId="0" borderId="0" xfId="0" applyNumberFormat="1" applyFont="1" applyAlignment="1">
      <alignment horizontal="center" vertical="center"/>
    </xf>
    <xf numFmtId="0" fontId="18" fillId="0" borderId="0" xfId="0" applyNumberFormat="1" applyFont="1" applyAlignment="1">
      <alignment horizontal="center"/>
    </xf>
    <xf numFmtId="0" fontId="18" fillId="0" borderId="0" xfId="0" applyNumberFormat="1" applyFont="1" applyAlignment="1">
      <alignment horizontal="center" vertical="center"/>
    </xf>
    <xf numFmtId="0" fontId="19" fillId="0" borderId="0" xfId="0" applyNumberFormat="1" applyFont="1" applyAlignment="1" applyProtection="1">
      <alignment horizontal="center" wrapText="1"/>
      <protection hidden="1"/>
    </xf>
    <xf numFmtId="0" fontId="18" fillId="0" borderId="0" xfId="0" applyNumberFormat="1" applyFont="1" applyAlignment="1">
      <alignment horizontal="left"/>
    </xf>
    <xf numFmtId="14" fontId="18" fillId="0" borderId="0" xfId="0" applyNumberFormat="1" applyFont="1" applyAlignment="1">
      <alignment horizontal="center"/>
    </xf>
    <xf numFmtId="0" fontId="18" fillId="0" borderId="0" xfId="0" applyNumberFormat="1" applyFont="1" applyAlignment="1">
      <alignment horizontal="right"/>
    </xf>
    <xf numFmtId="0" fontId="18" fillId="0" borderId="0" xfId="0" applyNumberFormat="1" applyFont="1" applyAlignment="1" applyProtection="1">
      <alignment horizontal="center" wrapText="1"/>
      <protection hidden="1"/>
    </xf>
    <xf numFmtId="3" fontId="1" fillId="0" borderId="0" xfId="0" applyNumberFormat="1" applyFont="1" applyBorder="1" applyAlignment="1">
      <alignment horizontal="center" vertical="center"/>
    </xf>
    <xf numFmtId="0" fontId="7" fillId="0" borderId="0" xfId="0" applyNumberFormat="1" applyFont="1" applyAlignment="1">
      <alignment horizontal="center" vertical="center"/>
    </xf>
    <xf numFmtId="167" fontId="1" fillId="0" borderId="0" xfId="2" applyNumberFormat="1" applyFont="1" applyAlignment="1">
      <alignment horizontal="center" vertical="center"/>
    </xf>
    <xf numFmtId="167" fontId="18" fillId="0" borderId="0" xfId="2" applyNumberFormat="1" applyFont="1" applyAlignment="1">
      <alignment horizontal="center" vertical="center"/>
    </xf>
    <xf numFmtId="0" fontId="1" fillId="0" borderId="0" xfId="0" applyNumberFormat="1" applyFont="1" applyAlignment="1" applyProtection="1">
      <alignment horizontal="center" wrapText="1"/>
      <protection hidden="1"/>
    </xf>
    <xf numFmtId="0" fontId="1" fillId="0" borderId="0" xfId="0" applyNumberFormat="1" applyFont="1" applyAlignment="1" applyProtection="1">
      <alignment horizontal="center"/>
      <protection hidden="1"/>
    </xf>
    <xf numFmtId="3" fontId="18" fillId="0" borderId="0" xfId="0" applyNumberFormat="1" applyFont="1" applyAlignment="1">
      <alignment horizontal="center" vertical="center"/>
    </xf>
    <xf numFmtId="0" fontId="19" fillId="0" borderId="0" xfId="0" applyNumberFormat="1" applyFont="1" applyFill="1" applyAlignment="1" applyProtection="1">
      <alignment horizontal="center" vertical="center" wrapText="1"/>
      <protection hidden="1"/>
    </xf>
    <xf numFmtId="2" fontId="18" fillId="0" borderId="0" xfId="0" applyNumberFormat="1" applyFont="1" applyAlignment="1">
      <alignment horizontal="center" vertical="center"/>
    </xf>
    <xf numFmtId="0" fontId="18" fillId="0" borderId="0" xfId="0" applyNumberFormat="1" applyFont="1"/>
    <xf numFmtId="0" fontId="18" fillId="0" borderId="0" xfId="0" applyNumberFormat="1" applyFont="1" applyAlignment="1" applyProtection="1">
      <alignment horizontal="center"/>
    </xf>
    <xf numFmtId="0" fontId="18" fillId="0" borderId="0" xfId="0" applyNumberFormat="1" applyFont="1" applyFill="1" applyAlignment="1" applyProtection="1">
      <alignment horizontal="center"/>
    </xf>
    <xf numFmtId="166" fontId="18" fillId="0" borderId="0" xfId="0" applyNumberFormat="1" applyFont="1" applyAlignment="1" applyProtection="1">
      <alignment horizontal="center"/>
    </xf>
    <xf numFmtId="0" fontId="18" fillId="0" borderId="0" xfId="0" applyNumberFormat="1" applyFont="1" applyProtection="1"/>
    <xf numFmtId="14" fontId="18" fillId="0" borderId="0" xfId="0" applyNumberFormat="1" applyFont="1" applyAlignment="1">
      <alignment horizontal="center" vertical="center"/>
    </xf>
    <xf numFmtId="0" fontId="10" fillId="0" borderId="0" xfId="0" applyNumberFormat="1" applyFont="1" applyAlignment="1">
      <alignment horizontal="center" vertical="center"/>
    </xf>
    <xf numFmtId="14" fontId="1" fillId="0" borderId="0" xfId="0" applyNumberFormat="1" applyFont="1" applyAlignment="1">
      <alignment horizontal="center" vertical="center"/>
    </xf>
    <xf numFmtId="0" fontId="18" fillId="0" borderId="0" xfId="0" applyNumberFormat="1" applyFont="1" applyAlignment="1" applyProtection="1">
      <alignment horizontal="center" vertical="center" wrapText="1"/>
      <protection hidden="1"/>
    </xf>
    <xf numFmtId="0" fontId="0" fillId="0" borderId="0" xfId="0" applyAlignment="1">
      <alignment horizontal="center"/>
    </xf>
    <xf numFmtId="0" fontId="0" fillId="0" borderId="0" xfId="0" applyNumberFormat="1" applyAlignment="1">
      <alignment horizontal="center"/>
    </xf>
    <xf numFmtId="0" fontId="14" fillId="0" borderId="0" xfId="0" applyFont="1" applyFill="1" applyAlignment="1">
      <alignment horizontal="left" vertical="top"/>
    </xf>
    <xf numFmtId="0" fontId="9" fillId="3" borderId="2" xfId="0" applyFont="1" applyFill="1" applyBorder="1" applyAlignment="1">
      <alignment horizontal="left" vertical="center"/>
    </xf>
    <xf numFmtId="0" fontId="9" fillId="3" borderId="2" xfId="0" applyFont="1" applyFill="1" applyBorder="1" applyAlignment="1" applyProtection="1">
      <alignment horizontal="left" vertical="center"/>
    </xf>
  </cellXfs>
  <cellStyles count="3">
    <cellStyle name="Comma" xfId="2" builtinId="3"/>
    <cellStyle name="Normal" xfId="0" builtinId="0"/>
    <cellStyle name="Normal 2 3" xfId="1"/>
  </cellStyles>
  <dxfs count="316">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ill>
        <patternFill>
          <bgColor rgb="FFFFCCCC"/>
        </patternFill>
      </fill>
    </dxf>
    <dxf>
      <font>
        <color rgb="FF9C0006"/>
      </font>
    </dxf>
    <dxf>
      <font>
        <color rgb="FF006100"/>
      </font>
    </dxf>
    <dxf>
      <font>
        <color rgb="FF9C0006"/>
      </font>
    </dxf>
    <dxf>
      <font>
        <color rgb="FF006100"/>
      </font>
    </dxf>
    <dxf>
      <font>
        <b val="0"/>
        <i/>
        <strike val="0"/>
        <color theme="2" tint="-0.499984740745262"/>
      </font>
      <fill>
        <patternFill patternType="solid">
          <bgColor theme="2" tint="-9.9948118533890809E-2"/>
        </patternFill>
      </fill>
    </dxf>
    <dxf>
      <font>
        <color rgb="FF9C0006"/>
      </font>
    </dxf>
    <dxf>
      <font>
        <color rgb="FF006100"/>
      </font>
    </dxf>
    <dxf>
      <fill>
        <patternFill>
          <bgColor rgb="FFFFCCCC"/>
        </patternFill>
      </fill>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166" formatCode="#,##0.000"/>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fill>
        <patternFill patternType="none">
          <fgColor indexed="64"/>
          <bgColor auto="1"/>
        </patternFill>
      </fil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protection locked="1"/>
    </dxf>
    <dxf>
      <numFmt numFmtId="0" formatCode="General"/>
      <alignment horizontal="center" vertical="top" textRotation="0" wrapText="1" indent="0" justifyLastLine="0" shrinkToFit="0" readingOrder="0"/>
      <protection locked="1"/>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2" formatCode="0.00"/>
      <alignment horizontal="center" vertical="center" textRotation="0" indent="0" justifyLastLine="0" shrinkToFit="0" readingOrder="0"/>
    </dxf>
    <dxf>
      <font>
        <strike val="0"/>
        <outline val="0"/>
        <shadow val="0"/>
        <u val="none"/>
        <vertAlign val="baseline"/>
        <sz val="11"/>
        <color auto="1"/>
        <name val="Calibri"/>
        <scheme val="none"/>
      </font>
      <numFmt numFmtId="2" formatCode="0.00"/>
      <alignment horizontal="center" vertic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indent="0" justifyLastLine="0" shrinkToFit="0" readingOrder="0"/>
    </dxf>
    <dxf>
      <font>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166" formatCode="#,##0.000"/>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fill>
        <patternFill patternType="none">
          <fgColor indexed="64"/>
          <bgColor auto="1"/>
        </patternFill>
      </fil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protection locked="1"/>
    </dxf>
    <dxf>
      <numFmt numFmtId="0" formatCode="General"/>
      <alignment horizontal="center" vertical="top" textRotation="0" wrapText="1"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strike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15"/>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2.xml"/><Relationship Id="rId21" Type="http://schemas.microsoft.com/office/2007/relationships/slicerCache" Target="slicerCaches/slicerCache5.xml"/><Relationship Id="rId34" Type="http://schemas.openxmlformats.org/officeDocument/2006/relationships/theme" Target="theme/theme1.xml"/><Relationship Id="rId42" Type="http://schemas.openxmlformats.org/officeDocument/2006/relationships/customXml" Target="../customXml/item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microsoft.com/office/2007/relationships/slicerCache" Target="slicerCaches/slicerCache16.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4"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tyles" Target="styles.xml"/><Relationship Id="rId43"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07/relationships/slicerCache" Target="slicerCaches/slicerCache17.xml"/><Relationship Id="rId38" Type="http://schemas.openxmlformats.org/officeDocument/2006/relationships/customXml" Target="../customXml/item1.xml"/><Relationship Id="rId46" Type="http://schemas.microsoft.com/office/2006/relationships/vbaProject" Target="vbaProject.bin"/><Relationship Id="rId20" Type="http://schemas.microsoft.com/office/2007/relationships/slicerCache" Target="slicerCaches/slicerCache4.xml"/><Relationship Id="rId4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'Batch Source Details'!$H$4</c:f>
              <c:strCache>
                <c:ptCount val="1"/>
                <c:pt idx="0">
                  <c:v>Count</c:v>
                </c:pt>
              </c:strCache>
            </c:strRef>
          </c:tx>
          <c:spPr>
            <a:solidFill>
              <a:schemeClr val="accent1"/>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Details'!$H$5:$H$43</c:f>
              <c:numCache>
                <c:formatCode>General</c:formatCode>
                <c:ptCount val="39"/>
                <c:pt idx="0">
                  <c:v>12</c:v>
                </c:pt>
                <c:pt idx="1">
                  <c:v>19</c:v>
                </c:pt>
                <c:pt idx="2">
                  <c:v>6</c:v>
                </c:pt>
                <c:pt idx="3">
                  <c:v>9</c:v>
                </c:pt>
                <c:pt idx="4">
                  <c:v>3</c:v>
                </c:pt>
                <c:pt idx="5">
                  <c:v>3</c:v>
                </c:pt>
                <c:pt idx="6">
                  <c:v>5</c:v>
                </c:pt>
                <c:pt idx="7">
                  <c:v>7</c:v>
                </c:pt>
                <c:pt idx="8">
                  <c:v>6</c:v>
                </c:pt>
                <c:pt idx="9">
                  <c:v>8</c:v>
                </c:pt>
                <c:pt idx="10">
                  <c:v>6</c:v>
                </c:pt>
                <c:pt idx="11">
                  <c:v>10</c:v>
                </c:pt>
                <c:pt idx="12">
                  <c:v>2</c:v>
                </c:pt>
                <c:pt idx="13">
                  <c:v>2</c:v>
                </c:pt>
                <c:pt idx="14">
                  <c:v>1</c:v>
                </c:pt>
                <c:pt idx="15">
                  <c:v>4</c:v>
                </c:pt>
                <c:pt idx="16">
                  <c:v>3</c:v>
                </c:pt>
                <c:pt idx="17">
                  <c:v>1</c:v>
                </c:pt>
                <c:pt idx="18">
                  <c:v>1</c:v>
                </c:pt>
                <c:pt idx="19">
                  <c:v>2</c:v>
                </c:pt>
                <c:pt idx="20">
                  <c:v>6</c:v>
                </c:pt>
                <c:pt idx="21">
                  <c:v>8</c:v>
                </c:pt>
                <c:pt idx="22">
                  <c:v>19</c:v>
                </c:pt>
                <c:pt idx="23">
                  <c:v>37</c:v>
                </c:pt>
                <c:pt idx="24">
                  <c:v>36</c:v>
                </c:pt>
                <c:pt idx="25">
                  <c:v>26</c:v>
                </c:pt>
                <c:pt idx="26">
                  <c:v>41</c:v>
                </c:pt>
                <c:pt idx="27">
                  <c:v>41</c:v>
                </c:pt>
                <c:pt idx="28">
                  <c:v>21</c:v>
                </c:pt>
                <c:pt idx="29">
                  <c:v>18</c:v>
                </c:pt>
                <c:pt idx="30">
                  <c:v>22</c:v>
                </c:pt>
                <c:pt idx="31">
                  <c:v>20</c:v>
                </c:pt>
                <c:pt idx="32">
                  <c:v>9</c:v>
                </c:pt>
                <c:pt idx="33">
                  <c:v>15</c:v>
                </c:pt>
                <c:pt idx="34">
                  <c:v>14</c:v>
                </c:pt>
                <c:pt idx="35">
                  <c:v>20</c:v>
                </c:pt>
                <c:pt idx="36">
                  <c:v>17</c:v>
                </c:pt>
                <c:pt idx="37">
                  <c:v>15</c:v>
                </c:pt>
                <c:pt idx="38">
                  <c:v>8</c:v>
                </c:pt>
              </c:numCache>
            </c:numRef>
          </c:val>
          <c:extLst>
            <c:ext xmlns:c16="http://schemas.microsoft.com/office/drawing/2014/chart" uri="{C3380CC4-5D6E-409C-BE32-E72D297353CC}">
              <c16:uniqueId val="{00000000-0A04-4C79-A6D0-C9E5C1E43AAD}"/>
            </c:ext>
          </c:extLst>
        </c:ser>
        <c:ser>
          <c:idx val="1"/>
          <c:order val="1"/>
          <c:tx>
            <c:strRef>
              <c:f>'Batch Source Details'!$I$4</c:f>
              <c:strCache>
                <c:ptCount val="1"/>
                <c:pt idx="0">
                  <c:v>Experiment</c:v>
                </c:pt>
              </c:strCache>
            </c:strRef>
          </c:tx>
          <c:spPr>
            <a:solidFill>
              <a:schemeClr val="accent2"/>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Details'!$I$5:$I$43</c:f>
            </c:numRef>
          </c:val>
          <c:extLst>
            <c:ext xmlns:c16="http://schemas.microsoft.com/office/drawing/2014/chart" uri="{C3380CC4-5D6E-409C-BE32-E72D297353CC}">
              <c16:uniqueId val="{00000001-0A04-4C79-A6D0-C9E5C1E43AAD}"/>
            </c:ext>
          </c:extLst>
        </c:ser>
        <c:ser>
          <c:idx val="2"/>
          <c:order val="2"/>
          <c:tx>
            <c:strRef>
              <c:f>'Batch Source Details'!$J$4</c:f>
              <c:strCache>
                <c:ptCount val="1"/>
                <c:pt idx="0">
                  <c:v>ID</c:v>
                </c:pt>
              </c:strCache>
            </c:strRef>
          </c:tx>
          <c:spPr>
            <a:solidFill>
              <a:schemeClr val="accent3"/>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Details'!$J$5:$J$43</c:f>
            </c:numRef>
          </c:val>
          <c:extLst>
            <c:ext xmlns:c16="http://schemas.microsoft.com/office/drawing/2014/chart" uri="{C3380CC4-5D6E-409C-BE32-E72D297353CC}">
              <c16:uniqueId val="{00000002-0A04-4C79-A6D0-C9E5C1E43AAD}"/>
            </c:ext>
          </c:extLst>
        </c:ser>
        <c:dLbls>
          <c:showLegendKey val="0"/>
          <c:showVal val="0"/>
          <c:showCatName val="0"/>
          <c:showSerName val="0"/>
          <c:showPercent val="0"/>
          <c:showBubbleSize val="0"/>
        </c:dLbls>
        <c:gapWidth val="219"/>
        <c:overlap val="-27"/>
        <c:axId val="-638197904"/>
        <c:axId val="-638187568"/>
      </c:barChart>
      <c:catAx>
        <c:axId val="-63819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187568"/>
        <c:crosses val="autoZero"/>
        <c:auto val="1"/>
        <c:lblAlgn val="ctr"/>
        <c:lblOffset val="100"/>
        <c:noMultiLvlLbl val="0"/>
      </c:catAx>
      <c:valAx>
        <c:axId val="-638187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197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r>
              <a:rPr lang="en-US"/>
              <a:t>Forward FX</a:t>
            </a:r>
            <a:r>
              <a:rPr lang="en-US" baseline="0"/>
              <a:t> </a:t>
            </a:r>
            <a:r>
              <a:rPr lang="en-US"/>
              <a:t>Curve</a:t>
            </a:r>
          </a:p>
        </c:rich>
      </c:tx>
      <c:overlay val="0"/>
      <c:spPr>
        <a:noFill/>
        <a:ln>
          <a:noFill/>
        </a:ln>
        <a:effectLst/>
      </c:spPr>
      <c:txPr>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v>Forward FX</c:v>
          </c:tx>
          <c:spPr>
            <a:ln w="25400" cap="flat" cmpd="dbl" algn="ctr">
              <a:solidFill>
                <a:schemeClr val="accent1">
                  <a:alpha val="50000"/>
                </a:schemeClr>
              </a:solidFill>
              <a:round/>
            </a:ln>
            <a:effectLst/>
          </c:spPr>
          <c:marker>
            <c:symbol val="circle"/>
            <c:size val="6"/>
            <c:spPr>
              <a:noFill/>
              <a:ln w="34925" cap="flat" cmpd="dbl" algn="ctr">
                <a:solidFill>
                  <a:schemeClr val="accent1">
                    <a:lumMod val="75000"/>
                    <a:alpha val="70000"/>
                  </a:schemeClr>
                </a:solidFill>
                <a:round/>
              </a:ln>
              <a:effectLst/>
            </c:spPr>
          </c:marker>
          <c:cat>
            <c:numRef>
              <c:f>'Batch Source Curve Details'!$E$5:$E$33</c:f>
              <c:numCache>
                <c:formatCode>General</c:formatCode>
                <c:ptCount val="29"/>
                <c:pt idx="0">
                  <c:v>0</c:v>
                </c:pt>
                <c:pt idx="1">
                  <c:v>31</c:v>
                </c:pt>
                <c:pt idx="2">
                  <c:v>61</c:v>
                </c:pt>
                <c:pt idx="3">
                  <c:v>92</c:v>
                </c:pt>
                <c:pt idx="4">
                  <c:v>123</c:v>
                </c:pt>
                <c:pt idx="5">
                  <c:v>151</c:v>
                </c:pt>
                <c:pt idx="6">
                  <c:v>182</c:v>
                </c:pt>
                <c:pt idx="7">
                  <c:v>212</c:v>
                </c:pt>
                <c:pt idx="8">
                  <c:v>243</c:v>
                </c:pt>
                <c:pt idx="9">
                  <c:v>273</c:v>
                </c:pt>
                <c:pt idx="10">
                  <c:v>304</c:v>
                </c:pt>
                <c:pt idx="11">
                  <c:v>335</c:v>
                </c:pt>
                <c:pt idx="12">
                  <c:v>365</c:v>
                </c:pt>
                <c:pt idx="13">
                  <c:v>457</c:v>
                </c:pt>
                <c:pt idx="14">
                  <c:v>547</c:v>
                </c:pt>
                <c:pt idx="15">
                  <c:v>638</c:v>
                </c:pt>
                <c:pt idx="16">
                  <c:v>730</c:v>
                </c:pt>
                <c:pt idx="17">
                  <c:v>1095</c:v>
                </c:pt>
                <c:pt idx="18">
                  <c:v>1461</c:v>
                </c:pt>
                <c:pt idx="19">
                  <c:v>1826</c:v>
                </c:pt>
                <c:pt idx="20">
                  <c:v>2191</c:v>
                </c:pt>
                <c:pt idx="21">
                  <c:v>2556</c:v>
                </c:pt>
                <c:pt idx="22">
                  <c:v>2922</c:v>
                </c:pt>
                <c:pt idx="23">
                  <c:v>3287</c:v>
                </c:pt>
                <c:pt idx="24">
                  <c:v>3652</c:v>
                </c:pt>
                <c:pt idx="25">
                  <c:v>5478</c:v>
                </c:pt>
                <c:pt idx="26">
                  <c:v>7305</c:v>
                </c:pt>
                <c:pt idx="27">
                  <c:v>9131</c:v>
                </c:pt>
                <c:pt idx="28">
                  <c:v>10957</c:v>
                </c:pt>
              </c:numCache>
            </c:numRef>
          </c:cat>
          <c:val>
            <c:numRef>
              <c:f>'Batch Source Curve Details'!$F$5:$F$33</c:f>
              <c:numCache>
                <c:formatCode>General</c:formatCode>
                <c:ptCount val="29"/>
                <c:pt idx="0">
                  <c:v>1.3375999999999999</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52A2-4F71-99BF-C04D3140C154}"/>
            </c:ext>
          </c:extLst>
        </c:ser>
        <c:ser>
          <c:idx val="1"/>
          <c:order val="1"/>
          <c:tx>
            <c:v>Variability Upper</c:v>
          </c:tx>
          <c:spPr>
            <a:ln w="25400" cap="flat" cmpd="dbl" algn="ctr">
              <a:solidFill>
                <a:schemeClr val="accent2">
                  <a:alpha val="50000"/>
                </a:schemeClr>
              </a:solidFill>
              <a:round/>
            </a:ln>
            <a:effectLst/>
          </c:spPr>
          <c:marker>
            <c:symbol val="circle"/>
            <c:size val="6"/>
            <c:spPr>
              <a:noFill/>
              <a:ln w="34925" cap="flat" cmpd="dbl" algn="ctr">
                <a:solidFill>
                  <a:schemeClr val="accent2">
                    <a:lumMod val="75000"/>
                    <a:alpha val="70000"/>
                  </a:schemeClr>
                </a:solidFill>
                <a:round/>
              </a:ln>
              <a:effectLst/>
            </c:spPr>
          </c:marker>
          <c:val>
            <c:numRef>
              <c:f>'Batch Source Curve Details'!$Y$5:$Y$33</c:f>
              <c:numCache>
                <c:formatCode>General</c:formatCode>
                <c:ptCount val="29"/>
                <c:pt idx="0">
                  <c:v>1.3576639999999998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A0FD-4B8A-A13C-F635DDA1AB9D}"/>
            </c:ext>
          </c:extLst>
        </c:ser>
        <c:ser>
          <c:idx val="2"/>
          <c:order val="2"/>
          <c:tx>
            <c:v>Variability Lower</c:v>
          </c:tx>
          <c:spPr>
            <a:ln w="25400" cap="flat" cmpd="dbl" algn="ctr">
              <a:solidFill>
                <a:schemeClr val="accent3">
                  <a:alpha val="50000"/>
                </a:schemeClr>
              </a:solidFill>
              <a:round/>
            </a:ln>
            <a:effectLst/>
          </c:spPr>
          <c:marker>
            <c:symbol val="circle"/>
            <c:size val="6"/>
            <c:spPr>
              <a:noFill/>
              <a:ln w="34925" cap="flat" cmpd="dbl" algn="ctr">
                <a:solidFill>
                  <a:schemeClr val="accent3">
                    <a:lumMod val="75000"/>
                    <a:alpha val="70000"/>
                  </a:schemeClr>
                </a:solidFill>
                <a:round/>
              </a:ln>
              <a:effectLst/>
            </c:spPr>
          </c:marker>
          <c:val>
            <c:numRef>
              <c:f>'Batch Source Curve Details'!$Z$5:$Z$33</c:f>
              <c:numCache>
                <c:formatCode>General</c:formatCode>
                <c:ptCount val="29"/>
                <c:pt idx="0">
                  <c:v>1.3175359999999998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1-A0FD-4B8A-A13C-F635DDA1AB9D}"/>
            </c:ext>
          </c:extLst>
        </c:ser>
        <c:dLbls>
          <c:showLegendKey val="0"/>
          <c:showVal val="0"/>
          <c:showCatName val="0"/>
          <c:showSerName val="0"/>
          <c:showPercent val="0"/>
          <c:showBubbleSize val="0"/>
        </c:dLbls>
        <c:marker val="1"/>
        <c:smooth val="0"/>
        <c:axId val="1057646352"/>
        <c:axId val="1227478592"/>
      </c:lineChart>
      <c:catAx>
        <c:axId val="10576463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Time</a:t>
                </a:r>
                <a:r>
                  <a:rPr lang="en-US" baseline="0"/>
                  <a:t> (Day)</a:t>
                </a:r>
                <a:endParaRPr lang="en-US"/>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227478592"/>
        <c:crosses val="autoZero"/>
        <c:auto val="1"/>
        <c:lblAlgn val="ctr"/>
        <c:lblOffset val="100"/>
        <c:noMultiLvlLbl val="1"/>
      </c:catAx>
      <c:valAx>
        <c:axId val="122747859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Exchange</a:t>
                </a:r>
                <a:r>
                  <a:rPr lang="en-US" baseline="0"/>
                  <a:t> rate</a:t>
                </a:r>
                <a:endParaRPr lang="en-US"/>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646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724670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2287215" cy="729803"/>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80794" y="1205437"/>
              <a:ext cx="3970496" cy="554960"/>
              <a:chOff x="477468" y="2445513"/>
              <a:chExt cx="2693958" cy="585685"/>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13"/>
                <a:ext cx="2685938" cy="247623"/>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5</xdr:col>
      <xdr:colOff>64432</xdr:colOff>
      <xdr:row>1</xdr:row>
      <xdr:rowOff>171450</xdr:rowOff>
    </xdr:from>
    <xdr:to>
      <xdr:col>7</xdr:col>
      <xdr:colOff>67421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179854</xdr:colOff>
      <xdr:row>1</xdr:row>
      <xdr:rowOff>171450</xdr:rowOff>
    </xdr:from>
    <xdr:to>
      <xdr:col>11</xdr:col>
      <xdr:colOff>152400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0</xdr:col>
      <xdr:colOff>1416050</xdr:colOff>
      <xdr:row>9</xdr:row>
      <xdr:rowOff>38100</xdr:rowOff>
    </xdr:to>
    <mc:AlternateContent xmlns:mc="http://schemas.openxmlformats.org/markup-compatibility/2006" xmlns:sle15="http://schemas.microsoft.com/office/drawing/2012/slicer">
      <mc:Choice Requires="sle15">
        <xdr:graphicFrame macro="">
          <xdr:nvGraphicFramePr>
            <xdr:cNvPr id="6" name="Active 17">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Active 17"/>
            </a:graphicData>
          </a:graphic>
        </xdr:graphicFrame>
      </mc:Choice>
      <mc:Fallback xmlns="">
        <xdr:sp macro="" textlink="">
          <xdr:nvSpPr>
            <xdr:cNvPr id="0" name=""/>
            <xdr:cNvSpPr>
              <a:spLocks noTextEdit="1"/>
            </xdr:cNvSpPr>
          </xdr:nvSpPr>
          <xdr:spPr>
            <a:xfrm>
              <a:off x="85725" y="760095"/>
              <a:ext cx="1447800"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76200" y="731520"/>
    <xdr:ext cx="1339850" cy="935355"/>
    <mc:AlternateContent xmlns:mc="http://schemas.openxmlformats.org/markup-compatibility/2006" xmlns:sle15="http://schemas.microsoft.com/office/drawing/2012/slicer">
      <mc:Choice Requires="sle15">
        <xdr:graphicFrame macro="">
          <xdr:nvGraphicFramePr>
            <xdr:cNvPr id="6" name="Active 16">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Active 16"/>
            </a:graphicData>
          </a:graphic>
        </xdr:graphicFrame>
      </mc:Choice>
      <mc:Fallback xmlns="">
        <xdr:sp macro="" textlink="">
          <xdr:nvSpPr>
            <xdr:cNvPr id="0" name=""/>
            <xdr:cNvSpPr>
              <a:spLocks noTextEdit="1"/>
            </xdr:cNvSpPr>
          </xdr:nvSpPr>
          <xdr:spPr>
            <a:xfrm>
              <a:off x="76200" y="731520"/>
              <a:ext cx="1476375" cy="9353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419100</xdr:colOff>
      <xdr:row>1</xdr:row>
      <xdr:rowOff>47625</xdr:rowOff>
    </xdr:from>
    <xdr:to>
      <xdr:col>0</xdr:col>
      <xdr:colOff>937500</xdr:colOff>
      <xdr:row>3</xdr:row>
      <xdr:rowOff>118368</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9100" y="47625"/>
          <a:ext cx="518400" cy="55651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66675</xdr:colOff>
      <xdr:row>4</xdr:row>
      <xdr:rowOff>64770</xdr:rowOff>
    </xdr:from>
    <xdr:to>
      <xdr:col>0</xdr:col>
      <xdr:colOff>1416050</xdr:colOff>
      <xdr:row>9</xdr:row>
      <xdr:rowOff>49540</xdr:rowOff>
    </xdr:to>
    <mc:AlternateContent xmlns:mc="http://schemas.openxmlformats.org/markup-compatibility/2006" xmlns:sle15="http://schemas.microsoft.com/office/drawing/2012/slicer">
      <mc:Choice Requires="sle15">
        <xdr:graphicFrame macro="">
          <xdr:nvGraphicFramePr>
            <xdr:cNvPr id="6" name="Active 1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Active 15"/>
            </a:graphicData>
          </a:graphic>
        </xdr:graphicFrame>
      </mc:Choice>
      <mc:Fallback xmlns="">
        <xdr:sp macro="" textlink="">
          <xdr:nvSpPr>
            <xdr:cNvPr id="0" name=""/>
            <xdr:cNvSpPr>
              <a:spLocks noTextEdit="1"/>
            </xdr:cNvSpPr>
          </xdr:nvSpPr>
          <xdr:spPr>
            <a:xfrm>
              <a:off x="66675" y="741045"/>
              <a:ext cx="1485900" cy="9340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447675</xdr:colOff>
      <xdr:row>1</xdr:row>
      <xdr:rowOff>47625</xdr:rowOff>
    </xdr:from>
    <xdr:to>
      <xdr:col>0</xdr:col>
      <xdr:colOff>966075</xdr:colOff>
      <xdr:row>3</xdr:row>
      <xdr:rowOff>118368</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7675" y="47625"/>
          <a:ext cx="518400" cy="556518"/>
        </a:xfrm>
        <a:prstGeom prst="rect">
          <a:avLst/>
        </a:prstGeom>
      </xdr:spPr>
    </xdr:pic>
    <xdr:clientData/>
  </xdr:twoCellAnchor>
  <xdr:twoCellAnchor editAs="absolute">
    <xdr:from>
      <xdr:col>0</xdr:col>
      <xdr:colOff>66675</xdr:colOff>
      <xdr:row>9</xdr:row>
      <xdr:rowOff>88901</xdr:rowOff>
    </xdr:from>
    <xdr:to>
      <xdr:col>0</xdr:col>
      <xdr:colOff>1418336</xdr:colOff>
      <xdr:row>15</xdr:row>
      <xdr:rowOff>146051</xdr:rowOff>
    </xdr:to>
    <mc:AlternateContent xmlns:mc="http://schemas.openxmlformats.org/markup-compatibility/2006" xmlns:sle15="http://schemas.microsoft.com/office/drawing/2012/slicer">
      <mc:Choice Requires="sle15">
        <xdr:graphicFrame macro="">
          <xdr:nvGraphicFramePr>
            <xdr:cNvPr id="3" name="Batch Source ID">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Batch Source ID"/>
            </a:graphicData>
          </a:graphic>
        </xdr:graphicFrame>
      </mc:Choice>
      <mc:Fallback xmlns="">
        <xdr:sp macro="" textlink="">
          <xdr:nvSpPr>
            <xdr:cNvPr id="0" name=""/>
            <xdr:cNvSpPr>
              <a:spLocks noTextEdit="1"/>
            </xdr:cNvSpPr>
          </xdr:nvSpPr>
          <xdr:spPr>
            <a:xfrm>
              <a:off x="66675" y="1714501"/>
              <a:ext cx="1488186" cy="12001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519112</xdr:colOff>
      <xdr:row>4</xdr:row>
      <xdr:rowOff>61912</xdr:rowOff>
    </xdr:from>
    <xdr:to>
      <xdr:col>20</xdr:col>
      <xdr:colOff>333375</xdr:colOff>
      <xdr:row>34</xdr:row>
      <xdr:rowOff>174625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76200</xdr:colOff>
      <xdr:row>4</xdr:row>
      <xdr:rowOff>55245</xdr:rowOff>
    </xdr:from>
    <xdr:to>
      <xdr:col>0</xdr:col>
      <xdr:colOff>1416050</xdr:colOff>
      <xdr:row>9</xdr:row>
      <xdr:rowOff>47625</xdr:rowOff>
    </xdr:to>
    <mc:AlternateContent xmlns:mc="http://schemas.openxmlformats.org/markup-compatibility/2006" xmlns:sle15="http://schemas.microsoft.com/office/drawing/2012/slicer">
      <mc:Choice Requires="sle15">
        <xdr:graphicFrame macro="">
          <xdr:nvGraphicFramePr>
            <xdr:cNvPr id="2" name="Active 18">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Active 18"/>
            </a:graphicData>
          </a:graphic>
        </xdr:graphicFrame>
      </mc:Choice>
      <mc:Fallback xmlns="">
        <xdr:sp macro="" textlink="">
          <xdr:nvSpPr>
            <xdr:cNvPr id="0" name=""/>
            <xdr:cNvSpPr>
              <a:spLocks noTextEdit="1"/>
            </xdr:cNvSpPr>
          </xdr:nvSpPr>
          <xdr:spPr>
            <a:xfrm>
              <a:off x="76200" y="731520"/>
              <a:ext cx="1476375" cy="9353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419100</xdr:colOff>
      <xdr:row>1</xdr:row>
      <xdr:rowOff>47625</xdr:rowOff>
    </xdr:from>
    <xdr:to>
      <xdr:col>0</xdr:col>
      <xdr:colOff>937500</xdr:colOff>
      <xdr:row>3</xdr:row>
      <xdr:rowOff>118368</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9100" y="47625"/>
          <a:ext cx="518400" cy="556518"/>
        </a:xfrm>
        <a:prstGeom prst="rect">
          <a:avLst/>
        </a:prstGeom>
      </xdr:spPr>
    </xdr:pic>
    <xdr:clientData/>
  </xdr:twoCellAnchor>
  <xdr:twoCellAnchor>
    <xdr:from>
      <xdr:col>10</xdr:col>
      <xdr:colOff>52387</xdr:colOff>
      <xdr:row>4</xdr:row>
      <xdr:rowOff>52386</xdr:rowOff>
    </xdr:from>
    <xdr:to>
      <xdr:col>22</xdr:col>
      <xdr:colOff>276225</xdr:colOff>
      <xdr:row>33</xdr:row>
      <xdr:rowOff>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711" sourceName="Active">
  <extLst>
    <x:ext xmlns:x15="http://schemas.microsoft.com/office/spreadsheetml/2010/11/main" uri="{2F2917AC-EB37-4324-AD4E-5DD8C200BD13}">
      <x15:tableSlicerCache tableId="22" column="8" crossFilter="show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ctive71111" sourceName="Active">
  <extLst>
    <x:ext xmlns:x15="http://schemas.microsoft.com/office/spreadsheetml/2010/11/main" uri="{2F2917AC-EB37-4324-AD4E-5DD8C200BD13}">
      <x15:tableSlicerCache tableId="24"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Batch_Source_ID" sourceName="Batch Source ID">
  <extLst>
    <x:ext xmlns:x15="http://schemas.microsoft.com/office/spreadsheetml/2010/11/main" uri="{2F2917AC-EB37-4324-AD4E-5DD8C200BD13}">
      <x15:tableSlicerCache tableId="22" column="3" crossFilter="show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2" sourceName="Active">
  <extLst>
    <x:ext xmlns:x15="http://schemas.microsoft.com/office/spreadsheetml/2010/11/main" uri="{2F2917AC-EB37-4324-AD4E-5DD8C200BD13}">
      <x15:tableSlicerCache tableId="1"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 sourceName="Active">
  <extLst>
    <x:ext xmlns:x15="http://schemas.microsoft.com/office/spreadsheetml/2010/11/main" uri="{2F2917AC-EB37-4324-AD4E-5DD8C200BD13}">
      <x15:tableSlicerCache tableId="23"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1111" sourceName="Active">
  <extLst>
    <x:ext xmlns:x15="http://schemas.microsoft.com/office/spreadsheetml/2010/11/main" uri="{2F2917AC-EB37-4324-AD4E-5DD8C200BD13}">
      <x15:tableSlicerCache tableId="6"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Active711111112" sourceName="Active">
  <extLst>
    <x:ext xmlns:x15="http://schemas.microsoft.com/office/spreadsheetml/2010/11/main" uri="{2F2917AC-EB37-4324-AD4E-5DD8C200BD13}">
      <x15:tableSlicerCache tableId="11" column="8"/>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8" cache="Slicer_Active711111112"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3" cache="Slicer_Active7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17" cache="Slicer_Active7111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16" cache="Slicer_Active7111" caption="Active" style="SlicerStyleLight2" rowHeight="234950"/>
</slicers>
</file>

<file path=xl/slicers/slicer14.xml><?xml version="1.0" encoding="utf-8"?>
<slicers xmlns="http://schemas.microsoft.com/office/spreadsheetml/2009/9/main" xmlns:mc="http://schemas.openxmlformats.org/markup-compatibility/2006" xmlns:x="http://schemas.openxmlformats.org/spreadsheetml/2006/main" mc:Ignorable="x">
  <slicer name="Active 15" cache="Slicer_Active711" caption="Active" style="SlicerStyleLight2" rowHeight="234950"/>
  <slicer name="Batch Source ID" cache="Slicer_Batch_Source_ID" caption="Batch Source ID" style="SlicerStyleLight3" rowHeight="241300"/>
</slicers>
</file>

<file path=xl/slicers/slicer15.xml><?xml version="1.0" encoding="utf-8"?>
<slicers xmlns="http://schemas.microsoft.com/office/spreadsheetml/2009/9/main" xmlns:mc="http://schemas.openxmlformats.org/markup-compatibility/2006" xmlns:x="http://schemas.openxmlformats.org/spreadsheetml/2006/main" mc:Ignorable="x">
  <slicer name="Active 18" cache="Slicer_Active71112" caption="Active" style="SlicerStyleLight2" rowHeight="234950"/>
</slicers>
</file>

<file path=xl/tables/table1.xml><?xml version="1.0" encoding="utf-8"?>
<table xmlns="http://schemas.openxmlformats.org/spreadsheetml/2006/main" id="17" name="Experiments" displayName="Experiments" ref="B8:O18" totalsRowShown="0" headerRowDxfId="56" dataDxfId="314">
  <autoFilter ref="B8:O18"/>
  <sortState ref="B9:N9">
    <sortCondition ref="E8:E9"/>
  </sortState>
  <tableColumns count="14">
    <tableColumn id="16" name="V" dataDxfId="313">
      <calculatedColumnFormula>IF(Experiments[[#This Row],[Active]]=TRUE,1,0)</calculatedColumnFormula>
    </tableColumn>
    <tableColumn id="11" name="Active" dataDxfId="312"/>
    <tableColumn id="2" name="Code" dataDxfId="311"/>
    <tableColumn id="1" name="Name" dataDxfId="310"/>
    <tableColumn id="13" name="Description" dataDxfId="309"/>
    <tableColumn id="7" name="Currency" dataDxfId="308"/>
    <tableColumn id="10" name="Auto Stop" dataDxfId="307"/>
    <tableColumn id="3" name="Iterations" dataDxfId="306"/>
    <tableColumn id="5" name="Maximum Run Duration" dataDxfId="305"/>
    <tableColumn id="6" name="Exchange Rate" dataDxfId="304"/>
    <tableColumn id="8" name="Year" dataDxfId="303"/>
    <tableColumn id="9" name="Month" dataDxfId="302"/>
    <tableColumn id="12" name="Factor (Barrel)" dataDxfId="301"/>
    <tableColumn id="14" name="ID" dataDxfId="300"/>
  </tableColumns>
  <tableStyleInfo name="TableStyleLight10" showFirstColumn="0" showLastColumn="0" showRowStripes="1" showColumnStripes="0"/>
</table>
</file>

<file path=xl/tables/table2.xml><?xml version="1.0" encoding="utf-8"?>
<table xmlns="http://schemas.openxmlformats.org/spreadsheetml/2006/main" id="3" name="Shippers" displayName="Shippers" ref="B4:G52" totalsRowShown="0" headerRowDxfId="0" dataDxfId="299">
  <autoFilter ref="B4:G52"/>
  <tableColumns count="6">
    <tableColumn id="14" name="L" dataDxfId="298" totalsRowDxfId="297">
      <calculatedColumnFormula>IF(Shippers[[#This Row],[Active]]=TRUE,1,0)</calculatedColumnFormula>
    </tableColumn>
    <tableColumn id="8" name="Active" dataDxfId="296" totalsRowDxfId="295"/>
    <tableColumn id="16" name="Code" dataDxfId="294"/>
    <tableColumn id="17" name="Name" dataDxfId="293"/>
    <tableColumn id="1" name="Comments" dataDxfId="292"/>
    <tableColumn id="10" name="ID" dataDxfId="291"/>
  </tableColumns>
  <tableStyleInfo name="TableStyleLight10" showFirstColumn="0" showLastColumn="0" showRowStripes="1" showColumnStripes="0"/>
</table>
</file>

<file path=xl/tables/table3.xml><?xml version="1.0" encoding="utf-8"?>
<table xmlns="http://schemas.openxmlformats.org/spreadsheetml/2006/main" id="4" name="Provinces" displayName="Provinces" ref="B4:I70" totalsRowShown="0" headerRowDxfId="290" dataDxfId="289">
  <autoFilter ref="B4:I70"/>
  <tableColumns count="8">
    <tableColumn id="14" name="L" dataDxfId="288" totalsRowDxfId="287">
      <calculatedColumnFormula>IF(Provinces[[#This Row],[Active]]=TRUE,1,0)</calculatedColumnFormula>
    </tableColumn>
    <tableColumn id="8" name="Active" dataDxfId="286" totalsRowDxfId="285"/>
    <tableColumn id="16" name="Code" dataDxfId="284"/>
    <tableColumn id="17" name="Name" dataDxfId="283"/>
    <tableColumn id="18" name="Location" dataDxfId="282"/>
    <tableColumn id="1" name="Country" dataDxfId="281"/>
    <tableColumn id="21" name="Order" dataDxfId="280"/>
    <tableColumn id="10" name="ID" dataDxfId="279"/>
  </tableColumns>
  <tableStyleInfo name="TableStyleLight10" showFirstColumn="0" showLastColumn="0" showRowStripes="1" showColumnStripes="0"/>
</table>
</file>

<file path=xl/tables/table4.xml><?xml version="1.0" encoding="utf-8"?>
<table xmlns="http://schemas.openxmlformats.org/spreadsheetml/2006/main" id="5" name="Jurisdictions" displayName="Jurisdictions" ref="B4:L109" totalsRowShown="0" headerRowDxfId="278" dataDxfId="277">
  <autoFilter ref="B4:L109"/>
  <sortState ref="B5:M5">
    <sortCondition ref="D4:D5"/>
  </sortState>
  <tableColumns count="11">
    <tableColumn id="14" name="L" dataDxfId="276" totalsRowDxfId="275">
      <calculatedColumnFormula>IF(Jurisdictions[[#This Row],[Active]]=TRUE,1,0)</calculatedColumnFormula>
    </tableColumn>
    <tableColumn id="8" name="Active" dataDxfId="274" totalsRowDxfId="273"/>
    <tableColumn id="16" name="Code" dataDxfId="272"/>
    <tableColumn id="17" name="Name" dataDxfId="271"/>
    <tableColumn id="18" name="Location" dataDxfId="270"/>
    <tableColumn id="3" name="Country" dataDxfId="269"/>
    <tableColumn id="2" name="Province/State" dataDxfId="268"/>
    <tableColumn id="1" name="Type" dataDxfId="267"/>
    <tableColumn id="4" name="Master Jurisdiction" dataDxfId="266"/>
    <tableColumn id="21" name="Order" dataDxfId="265"/>
    <tableColumn id="10" name="ID" dataDxfId="264"/>
  </tableColumns>
  <tableStyleInfo name="TableStyleLight10" showFirstColumn="0" showLastColumn="0" showRowStripes="1" showColumnStripes="0"/>
</table>
</file>

<file path=xl/tables/table5.xml><?xml version="1.0" encoding="utf-8"?>
<table xmlns="http://schemas.openxmlformats.org/spreadsheetml/2006/main" id="11" name="Companies" displayName="Companies" ref="B4:T38" headerRowDxfId="263" dataDxfId="262">
  <autoFilter ref="B4:T38"/>
  <tableColumns count="19">
    <tableColumn id="14" name="L" totalsRowLabel="Total" dataDxfId="261" totalsRowDxfId="260">
      <calculatedColumnFormula>IF(Companies[[#This Row],[Active]]=TRUE,1,0)</calculatedColumnFormula>
    </tableColumn>
    <tableColumn id="8" name="Active" dataDxfId="259" totalsRowDxfId="258"/>
    <tableColumn id="16" name="Code" dataDxfId="257" totalsRowDxfId="256"/>
    <tableColumn id="17" name="Name" dataDxfId="255" totalsRowDxfId="254"/>
    <tableColumn id="18" name="location" dataDxfId="253" totalsRowDxfId="252"/>
    <tableColumn id="20" name="Type" dataDxfId="251" totalsRowDxfId="250"/>
    <tableColumn id="28" name="Currency" dataDxfId="249" totalsRowDxfId="248"/>
    <tableColumn id="30" name="IsWithinTerritory" dataDxfId="247" totalsRowDxfId="246"/>
    <tableColumn id="31" name="WithinTerritory" dataDxfId="245" totalsRowDxfId="244"/>
    <tableColumn id="11" name="Legal Name" dataDxfId="243" totalsRowDxfId="242"/>
    <tableColumn id="10" name="Total Targeted Emissions" dataDxfId="241" totalsRowDxfId="240"/>
    <tableColumn id="9" name="IsInnerTrading" dataDxfId="239" totalsRowDxfId="238"/>
    <tableColumn id="7" name="StartInnerTrading" dataDxfId="237" totalsRowDxfId="236"/>
    <tableColumn id="6" name="StopInnerTrading" dataDxfId="235" totalsRowDxfId="234"/>
    <tableColumn id="5" name="IsOutsideTrading" dataDxfId="233" totalsRowDxfId="232"/>
    <tableColumn id="4" name="StartOutsideTrading" dataDxfId="231" totalsRowDxfId="230"/>
    <tableColumn id="3" name="StopOutsideTrading" dataDxfId="229" totalsRowDxfId="228"/>
    <tableColumn id="2" name="DefaultTradeType" dataDxfId="227" totalsRowDxfId="226"/>
    <tableColumn id="33" name="ID" dataDxfId="225" totalsRowDxfId="224"/>
  </tableColumns>
  <tableStyleInfo name="TableStyleLight10" showFirstColumn="0" showLastColumn="0" showRowStripes="1" showColumnStripes="0"/>
</table>
</file>

<file path=xl/tables/table6.xml><?xml version="1.0" encoding="utf-8"?>
<table xmlns="http://schemas.openxmlformats.org/spreadsheetml/2006/main" id="6" name="FacilityType" displayName="FacilityType" ref="B4:H35" totalsRowShown="0" headerRowDxfId="223" dataDxfId="222">
  <autoFilter ref="B4:H35"/>
  <tableColumns count="7">
    <tableColumn id="14" name="L" dataDxfId="221" totalsRowDxfId="220">
      <calculatedColumnFormula>IF(FacilityType[[#This Row],[Active]]=TRUE,1,0)</calculatedColumnFormula>
    </tableColumn>
    <tableColumn id="8" name="Active" dataDxfId="219" totalsRowDxfId="218"/>
    <tableColumn id="16" name="Code" dataDxfId="217"/>
    <tableColumn id="17" name="Name" dataDxfId="216"/>
    <tableColumn id="1" name="Fig Code" dataDxfId="215"/>
    <tableColumn id="21" name="Order" dataDxfId="214"/>
    <tableColumn id="10" name="ID" dataDxfId="213"/>
  </tableColumns>
  <tableStyleInfo name="TableStyleLight10" showFirstColumn="0" showLastColumn="0" showRowStripes="1" showColumnStripes="0"/>
</table>
</file>

<file path=xl/tables/table7.xml><?xml version="1.0" encoding="utf-8"?>
<table xmlns="http://schemas.openxmlformats.org/spreadsheetml/2006/main" id="9" name="Facilities" displayName="Facilities" ref="B4:R120" totalsRowShown="0" headerRowDxfId="212" dataDxfId="211">
  <autoFilter ref="B4:R120"/>
  <tableColumns count="17">
    <tableColumn id="14" name="L" dataDxfId="210" totalsRowDxfId="209">
      <calculatedColumnFormula>IF(Facilities[[#This Row],[Active]]=TRUE,1,0)</calculatedColumnFormula>
    </tableColumn>
    <tableColumn id="8" name="Active" dataDxfId="208" totalsRowDxfId="207"/>
    <tableColumn id="16" name="Code" dataDxfId="206"/>
    <tableColumn id="4" name="Name" dataDxfId="205"/>
    <tableColumn id="3" name="Location" dataDxfId="204"/>
    <tableColumn id="2" name="Type" dataDxfId="203"/>
    <tableColumn id="9" name="Jurisdiction" dataDxfId="202"/>
    <tableColumn id="13" name="Company" dataDxfId="201"/>
    <tableColumn id="17" name="Currency" dataDxfId="200"/>
    <tableColumn id="22" name="Frequency" dataDxfId="199"/>
    <tableColumn id="21" name="Tax Mode" dataDxfId="198"/>
    <tableColumn id="20" name="Trade Markets" dataDxfId="197"/>
    <tableColumn id="19" name="Performance" dataDxfId="196"/>
    <tableColumn id="24" name="Is Tax Calculated?" dataDxfId="195"/>
    <tableColumn id="23" name="Is Connection Visible?" dataDxfId="194"/>
    <tableColumn id="5" name="Experiment" dataDxfId="193"/>
    <tableColumn id="10" name="ID" dataDxfId="192"/>
  </tableColumns>
  <tableStyleInfo name="TableStyleLight10" showFirstColumn="0" showLastColumn="0" showRowStripes="1" showColumnStripes="0"/>
</table>
</file>

<file path=xl/tables/table8.xml><?xml version="1.0" encoding="utf-8"?>
<table xmlns="http://schemas.openxmlformats.org/spreadsheetml/2006/main" id="7" name="FacilitySchedule" displayName="FacilitySchedule" ref="B4:L309" totalsRowShown="0" headerRowDxfId="191" dataDxfId="190">
  <autoFilter ref="B4:L309"/>
  <sortState ref="B5:L5">
    <sortCondition ref="I4:I5"/>
  </sortState>
  <tableColumns count="11">
    <tableColumn id="14" name="L" dataDxfId="189" totalsRowDxfId="188">
      <calculatedColumnFormula>IF(FacilitySchedule[[#This Row],[Active]]=TRUE,1,0)</calculatedColumnFormula>
    </tableColumn>
    <tableColumn id="8" name="Active" dataDxfId="187" totalsRowDxfId="186"/>
    <tableColumn id="4" name="Facility" dataDxfId="185"/>
    <tableColumn id="3" name="Emission" dataDxfId="184"/>
    <tableColumn id="2" name="Recovery" dataDxfId="183"/>
    <tableColumn id="7" name="Start Date" dataDxfId="182"/>
    <tableColumn id="6" name="End Date" dataDxfId="181"/>
    <tableColumn id="11" name="Code" dataDxfId="180"/>
    <tableColumn id="9" name="Period Time" dataDxfId="179"/>
    <tableColumn id="5" name="Experiment" dataDxfId="178"/>
    <tableColumn id="10" name="ID" dataDxfId="177"/>
  </tableColumns>
  <tableStyleInfo name="TableStyleLight10" showFirstColumn="0" showLastColumn="0" showRowStripes="1" showColumnStripes="0"/>
</table>
</file>

<file path=xl/tables/table9.xml><?xml version="1.0" encoding="utf-8"?>
<table xmlns="http://schemas.openxmlformats.org/spreadsheetml/2006/main" id="2" name="TaxEvents" displayName="TaxEvents" ref="B4:U84" totalsRowShown="0" headerRowDxfId="176" dataDxfId="175">
  <autoFilter ref="B4:U84"/>
  <sortState ref="B5:U5">
    <sortCondition descending="1" ref="C4:C5"/>
  </sortState>
  <tableColumns count="20">
    <tableColumn id="14" name="L" dataDxfId="174" totalsRowDxfId="173">
      <calculatedColumnFormula>IF(TaxEvents[[#This Row],[Active]]=TRUE,1,0)</calculatedColumnFormula>
    </tableColumn>
    <tableColumn id="8" name="Active" dataDxfId="172" totalsRowDxfId="171"/>
    <tableColumn id="16" name="Code" dataDxfId="170"/>
    <tableColumn id="17" name="Name" dataDxfId="169"/>
    <tableColumn id="18" name="Country" dataDxfId="168"/>
    <tableColumn id="12" name="IsFacility" dataDxfId="167"/>
    <tableColumn id="13" name="Facility" dataDxfId="166"/>
    <tableColumn id="19" name="Facility Type" dataDxfId="165"/>
    <tableColumn id="11" name="IsJurisdiction" dataDxfId="164"/>
    <tableColumn id="5" name="Jurisdiction" dataDxfId="163"/>
    <tableColumn id="21" name="Province" dataDxfId="162"/>
    <tableColumn id="28" name="Tax" dataDxfId="161"/>
    <tableColumn id="1" name="Min" dataDxfId="160"/>
    <tableColumn id="2" name="Max" dataDxfId="159"/>
    <tableColumn id="3" name="Start Date" dataDxfId="158"/>
    <tableColumn id="4" name="End Date" dataDxfId="157"/>
    <tableColumn id="6" name="Period Time" dataDxfId="156"/>
    <tableColumn id="7" name="Is Limited?" dataDxfId="155"/>
    <tableColumn id="9" name="Experiment" dataDxfId="154"/>
    <tableColumn id="10" name="ID" dataDxfId="153"/>
  </tableColumns>
  <tableStyleInfo name="TableStyleLight10" showFirstColumn="0" showLastColumn="0" showRowStripes="1" showColumnStripes="0"/>
</table>
</file>

<file path=xl/tables/table10.xml><?xml version="1.0" encoding="utf-8"?>
<table xmlns="http://schemas.openxmlformats.org/spreadsheetml/2006/main" id="10" name="CreditEvents" displayName="CreditEvents" ref="B4:V61" totalsRowShown="0" headerRowDxfId="152" dataDxfId="151">
  <autoFilter ref="B4:V61"/>
  <tableColumns count="21">
    <tableColumn id="14" name="L" dataDxfId="150" totalsRowDxfId="149">
      <calculatedColumnFormula>IF(CreditEvents[[#This Row],[Active]]=TRUE,1,0)</calculatedColumnFormula>
    </tableColumn>
    <tableColumn id="8" name="Active" dataDxfId="148" totalsRowDxfId="147"/>
    <tableColumn id="16" name="Code" dataDxfId="146"/>
    <tableColumn id="2" name="Name" dataDxfId="145"/>
    <tableColumn id="20" name="IsJurisdiction" dataDxfId="144"/>
    <tableColumn id="21" name="Jurisdiction" dataDxfId="143"/>
    <tableColumn id="4" name="IsFacility" dataDxfId="142"/>
    <tableColumn id="3" name="Facility" dataDxfId="141"/>
    <tableColumn id="22" name="Facility Type" dataDxfId="140"/>
    <tableColumn id="1" name="Country" dataDxfId="139"/>
    <tableColumn id="7" name="Province" dataDxfId="138"/>
    <tableColumn id="11" name="Balance" dataDxfId="137" dataCellStyle="Comma"/>
    <tableColumn id="9" name="Start Date" dataDxfId="136"/>
    <tableColumn id="13" name="End Date" dataDxfId="135"/>
    <tableColumn id="15" name="Type" dataDxfId="134"/>
    <tableColumn id="17" name="Price" dataDxfId="133" dataCellStyle="Comma"/>
    <tableColumn id="12" name="Period Time" dataDxfId="132"/>
    <tableColumn id="19" name="Is Carryover?" dataDxfId="131"/>
    <tableColumn id="18" name="Is Renew?" dataDxfId="130"/>
    <tableColumn id="5" name="Experiment" dataDxfId="129"/>
    <tableColumn id="10" name="ID" dataDxfId="128"/>
  </tableColumns>
  <tableStyleInfo name="TableStyleLight10" showFirstColumn="0" showLastColumn="0" showRowStripes="1" showColumnStripes="0"/>
</table>
</file>

<file path=xl/tables/table11.xml><?xml version="1.0" encoding="utf-8"?>
<table xmlns="http://schemas.openxmlformats.org/spreadsheetml/2006/main" id="8" name="FacilityDep" displayName="FacilityDep" ref="B4:L12" totalsRowShown="0" headerRowDxfId="127" dataDxfId="126">
  <autoFilter ref="B4:L12"/>
  <tableColumns count="11">
    <tableColumn id="14" name="L" dataDxfId="125" totalsRowDxfId="124">
      <calculatedColumnFormula>IF(FacilityDep[[#This Row],[Active]]=TRUE,1,0)</calculatedColumnFormula>
    </tableColumn>
    <tableColumn id="8" name="Active" dataDxfId="123" totalsRowDxfId="122"/>
    <tableColumn id="16" name="Code" dataDxfId="121"/>
    <tableColumn id="4" name="Facility" dataDxfId="120"/>
    <tableColumn id="3" name="Dependency" dataDxfId="119"/>
    <tableColumn id="2" name="Type" dataDxfId="118"/>
    <tableColumn id="1" name="Value" dataDxfId="117"/>
    <tableColumn id="7" name="Start Date" dataDxfId="116"/>
    <tableColumn id="6" name="End Date" dataDxfId="115"/>
    <tableColumn id="5" name="Experiment" dataDxfId="114"/>
    <tableColumn id="10" name="ID" dataDxfId="113"/>
  </tableColumns>
  <tableStyleInfo name="TableStyleLight10" showFirstColumn="0" showLastColumn="0" showRowStripes="1" showColumnStripes="0"/>
</table>
</file>

<file path=xl/tables/table12.xml><?xml version="1.0" encoding="utf-8"?>
<table xmlns="http://schemas.openxmlformats.org/spreadsheetml/2006/main" id="24" name="Variables" displayName="Variables" ref="B4:J5" insertRow="1" totalsRowShown="0" headerRowDxfId="112" dataDxfId="111">
  <autoFilter ref="B4:J5"/>
  <tableColumns count="9">
    <tableColumn id="14" name="L" dataDxfId="110" totalsRowDxfId="109">
      <calculatedColumnFormula>IF(Variables[[#This Row],[Active]]=TRUE,1,0)</calculatedColumnFormula>
    </tableColumn>
    <tableColumn id="8" name="Active" dataDxfId="108" totalsRowDxfId="107"/>
    <tableColumn id="16" name="Code" dataDxfId="106"/>
    <tableColumn id="17" name="Name" dataDxfId="105"/>
    <tableColumn id="18" name="Measure" dataDxfId="104"/>
    <tableColumn id="21" name="Value" dataDxfId="103"/>
    <tableColumn id="27" name="Comments" dataDxfId="102"/>
    <tableColumn id="28" name="Experiment" dataDxfId="101"/>
    <tableColumn id="1" name="ID" dataDxfId="100"/>
  </tableColumns>
  <tableStyleInfo name="TableStyleLight10" showFirstColumn="0" showLastColumn="0" showRowStripes="1" showColumnStripes="0"/>
</table>
</file>

<file path=xl/tables/table13.xml><?xml version="1.0" encoding="utf-8"?>
<table xmlns="http://schemas.openxmlformats.org/spreadsheetml/2006/main" id="23" name="BSources" displayName="BSources" ref="B4:O5" totalsRowShown="0" headerRowDxfId="99" dataDxfId="98">
  <autoFilter ref="B4:O5"/>
  <tableColumns count="14">
    <tableColumn id="14" name="L" dataDxfId="97" totalsRowDxfId="96">
      <calculatedColumnFormula>IF(BSources[[#This Row],[Active]]=TRUE,1,0)</calculatedColumnFormula>
    </tableColumn>
    <tableColumn id="8" name="Active" dataDxfId="95"/>
    <tableColumn id="16" name="Code" dataDxfId="94"/>
    <tableColumn id="17" name="Name" dataDxfId="93"/>
    <tableColumn id="18" name="Opening Value" dataDxfId="92"/>
    <tableColumn id="19" name="Random Opening Value" dataDxfId="91"/>
    <tableColumn id="20" name="Step" dataDxfId="90"/>
    <tableColumn id="21" name="Start Value" dataDxfId="89"/>
    <tableColumn id="23" name="Measure" dataDxfId="88"/>
    <tableColumn id="22" name="Currency" dataDxfId="87"/>
    <tableColumn id="2" name="Histogram"/>
    <tableColumn id="24" name="Comments" dataDxfId="86"/>
    <tableColumn id="28" name="Experiment" dataDxfId="85"/>
    <tableColumn id="1" name="ID" dataDxfId="84"/>
  </tableColumns>
  <tableStyleInfo name="TableStyleLight10" showFirstColumn="0" showLastColumn="0" showRowStripes="1" showColumnStripes="0"/>
</table>
</file>

<file path=xl/tables/table14.xml><?xml version="1.0" encoding="utf-8"?>
<table xmlns="http://schemas.openxmlformats.org/spreadsheetml/2006/main" id="22" name="BSDetails" displayName="BSDetails" ref="B4:J43" totalsRowShown="0" headerRowDxfId="83" dataDxfId="82">
  <autoFilter ref="B4:J43"/>
  <tableColumns count="9">
    <tableColumn id="14" name="L" dataDxfId="81" totalsRowDxfId="80">
      <calculatedColumnFormula>IF(BSDetails[[#This Row],[Active]]=TRUE,1,0)</calculatedColumnFormula>
    </tableColumn>
    <tableColumn id="8" name="Active" dataDxfId="79"/>
    <tableColumn id="3" name="Batch Source ID" dataDxfId="78"/>
    <tableColumn id="1" name="Code" dataDxfId="77"/>
    <tableColumn id="6" name="Min" dataDxfId="76"/>
    <tableColumn id="2" name="Max" dataDxfId="75"/>
    <tableColumn id="4" name="Count" dataDxfId="74"/>
    <tableColumn id="15" name="Experiment" dataDxfId="73" totalsRowDxfId="72"/>
    <tableColumn id="5" name="ID" dataDxfId="71" totalsRowDxfId="70"/>
  </tableColumns>
  <tableStyleInfo name="TableStyleLight10" showFirstColumn="0" showLastColumn="0" showRowStripes="1" showColumnStripes="0"/>
</table>
</file>

<file path=xl/tables/table15.xml><?xml version="1.0" encoding="utf-8"?>
<table xmlns="http://schemas.openxmlformats.org/spreadsheetml/2006/main" id="1" name="BSCDetails" displayName="BSCDetails" ref="B4:J33" totalsRowShown="0" headerRowDxfId="69" dataDxfId="68">
  <autoFilter ref="B4:J33"/>
  <tableColumns count="9">
    <tableColumn id="14" name="L" dataDxfId="67" totalsRowDxfId="66">
      <calculatedColumnFormula>IF(BSCDetails[[#This Row],[Active]]=TRUE,1,0)</calculatedColumnFormula>
    </tableColumn>
    <tableColumn id="8" name="Active" dataDxfId="65"/>
    <tableColumn id="16" name="Batch Source ID" dataDxfId="64"/>
    <tableColumn id="17" name="Day" dataDxfId="63"/>
    <tableColumn id="19" name="Value" dataDxfId="62"/>
    <tableColumn id="20" name="Variability" dataDxfId="61"/>
    <tableColumn id="24" name="Comments" dataDxfId="60"/>
    <tableColumn id="28" name="Experiment" dataDxfId="59"/>
    <tableColumn id="1" name="ID" dataDxfId="58"/>
  </tableColumns>
  <tableStyleInfo name="TableStyleLight10" showFirstColumn="0" showLastColumn="0" showRowStripes="1" showColumnStripes="0"/>
</table>
</file>

<file path=xl/tables/table16.xml><?xml version="1.0" encoding="utf-8"?>
<table xmlns="http://schemas.openxmlformats.org/spreadsheetml/2006/main" id="19" name="VarList" displayName="VarList" ref="B3:C7" totalsRowShown="0" headerRowDxfId="57">
  <autoFilter ref="B3:C7"/>
  <tableColumns count="2">
    <tableColumn id="1" name="Variable"/>
    <tableColumn id="3" name="Value"/>
  </tableColumns>
  <tableStyleInfo name="TableStyleLight10"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microsoft.com/office/2007/relationships/slicer" Target="../slicers/slicer1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microsoft.com/office/2007/relationships/slicer" Target="../slicers/slicer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P18"/>
  <sheetViews>
    <sheetView showGridLines="0" zoomScaleNormal="100" workbookViewId="0">
      <selection activeCell="Q17" sqref="Q17"/>
    </sheetView>
  </sheetViews>
  <sheetFormatPr defaultRowHeight="15"/>
  <cols>
    <col min="1" max="1" width="2.7109375" customWidth="1"/>
    <col min="2" max="2" width="6.85546875" customWidth="1"/>
    <col min="3" max="3" width="11.140625" customWidth="1"/>
    <col min="4" max="4" width="15.7109375" bestFit="1"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7.42578125" bestFit="1" customWidth="1"/>
  </cols>
  <sheetData>
    <row r="1" spans="2:16" s="2" customFormat="1" ht="57" customHeight="1" thickBot="1">
      <c r="F1" s="2" t="s">
        <v>1277</v>
      </c>
      <c r="P1" s="48"/>
    </row>
    <row r="2" spans="2:16" s="4" customFormat="1" ht="15.75" thickTop="1"/>
    <row r="3" spans="2:16" ht="20.45" customHeight="1">
      <c r="B3" s="100" t="s">
        <v>36</v>
      </c>
      <c r="C3" s="100"/>
      <c r="D3" s="100"/>
      <c r="E3" s="100"/>
      <c r="G3" s="3"/>
    </row>
    <row r="4" spans="2:16">
      <c r="B4" s="14"/>
      <c r="C4" s="14"/>
      <c r="D4" s="14"/>
      <c r="E4" s="14"/>
    </row>
    <row r="5" spans="2:16">
      <c r="B5" s="14"/>
      <c r="C5" s="14"/>
      <c r="D5" s="14"/>
      <c r="E5" s="14"/>
      <c r="F5" s="49"/>
      <c r="H5" s="11"/>
      <c r="I5" s="11"/>
      <c r="J5" s="11"/>
      <c r="K5" s="11"/>
      <c r="L5" s="11"/>
    </row>
    <row r="6" spans="2:16" ht="30.75" customHeight="1">
      <c r="B6" s="14"/>
      <c r="C6" s="14"/>
      <c r="D6" s="14"/>
      <c r="E6" s="14"/>
      <c r="F6" s="14"/>
      <c r="G6" s="1"/>
      <c r="H6" s="8"/>
      <c r="I6" s="9"/>
      <c r="J6" s="9"/>
      <c r="K6" s="6"/>
      <c r="L6" s="6"/>
    </row>
    <row r="7" spans="2:16">
      <c r="G7" s="1"/>
      <c r="H7" s="8"/>
      <c r="I7" s="9"/>
      <c r="J7" s="9"/>
      <c r="K7" s="6"/>
      <c r="L7" s="6"/>
    </row>
    <row r="8" spans="2:16" ht="30">
      <c r="B8" s="25" t="s">
        <v>10</v>
      </c>
      <c r="C8" s="17" t="s">
        <v>1</v>
      </c>
      <c r="D8" s="17" t="s">
        <v>0</v>
      </c>
      <c r="E8" s="17" t="s">
        <v>3</v>
      </c>
      <c r="F8" s="17" t="s">
        <v>5</v>
      </c>
      <c r="G8" s="17" t="s">
        <v>30</v>
      </c>
      <c r="H8" s="17" t="s">
        <v>1270</v>
      </c>
      <c r="I8" s="17" t="s">
        <v>1271</v>
      </c>
      <c r="J8" s="17" t="s">
        <v>1272</v>
      </c>
      <c r="K8" s="17" t="s">
        <v>1273</v>
      </c>
      <c r="L8" s="17" t="s">
        <v>1274</v>
      </c>
      <c r="M8" s="17" t="s">
        <v>1275</v>
      </c>
      <c r="N8" s="17" t="s">
        <v>1276</v>
      </c>
      <c r="O8" s="17" t="s">
        <v>20</v>
      </c>
    </row>
    <row r="9" spans="2:16">
      <c r="B9" s="7">
        <f>IF(Experiments[[#This Row],[Active]]=TRUE,1,0)</f>
        <v>1</v>
      </c>
      <c r="C9" s="7" t="b">
        <v>1</v>
      </c>
      <c r="D9" s="21" t="s">
        <v>1278</v>
      </c>
      <c r="E9" s="21" t="s">
        <v>1279</v>
      </c>
      <c r="F9" s="21"/>
      <c r="G9" s="99" t="s">
        <v>49</v>
      </c>
      <c r="H9" s="99" t="b">
        <v>0</v>
      </c>
      <c r="I9" s="98">
        <v>1000</v>
      </c>
      <c r="J9" s="98">
        <v>5</v>
      </c>
      <c r="K9" s="98">
        <v>1.3438000000000001</v>
      </c>
      <c r="L9" s="98">
        <v>2016</v>
      </c>
      <c r="M9" s="98">
        <v>11</v>
      </c>
      <c r="N9" s="99">
        <v>6.2928699999999997</v>
      </c>
      <c r="O9" s="15">
        <v>1</v>
      </c>
    </row>
    <row r="10" spans="2:16">
      <c r="B10" s="7">
        <f>IF(Experiments[[#This Row],[Active]]=TRUE,1,0)</f>
        <v>1</v>
      </c>
      <c r="C10" s="7" t="b">
        <v>1</v>
      </c>
      <c r="D10" s="21" t="s">
        <v>1280</v>
      </c>
      <c r="E10" s="21" t="s">
        <v>1281</v>
      </c>
      <c r="F10" s="21"/>
      <c r="G10" s="99" t="s">
        <v>49</v>
      </c>
      <c r="H10" s="99" t="b">
        <v>0</v>
      </c>
      <c r="I10" s="98">
        <v>1000</v>
      </c>
      <c r="J10" s="98">
        <v>5</v>
      </c>
      <c r="K10" s="98">
        <v>1.3329</v>
      </c>
      <c r="L10" s="98">
        <v>2016</v>
      </c>
      <c r="M10" s="98">
        <v>12</v>
      </c>
      <c r="N10" s="99">
        <v>6.2928699999999997</v>
      </c>
      <c r="O10" s="15">
        <v>3</v>
      </c>
    </row>
    <row r="11" spans="2:16">
      <c r="B11" s="7">
        <f>IF(Experiments[[#This Row],[Active]]=TRUE,1,0)</f>
        <v>1</v>
      </c>
      <c r="C11" s="7" t="b">
        <v>1</v>
      </c>
      <c r="D11" s="21" t="s">
        <v>1282</v>
      </c>
      <c r="E11" s="21" t="s">
        <v>1283</v>
      </c>
      <c r="F11" s="21"/>
      <c r="G11" s="99" t="s">
        <v>49</v>
      </c>
      <c r="H11" s="99" t="b">
        <v>0</v>
      </c>
      <c r="I11" s="98">
        <v>1000</v>
      </c>
      <c r="J11" s="98">
        <v>5</v>
      </c>
      <c r="K11" s="98">
        <v>1.3190999999999999</v>
      </c>
      <c r="L11" s="98">
        <v>2017</v>
      </c>
      <c r="M11" s="98">
        <v>1</v>
      </c>
      <c r="N11" s="99">
        <v>6.2928699999999997</v>
      </c>
      <c r="O11" s="15">
        <v>5</v>
      </c>
    </row>
    <row r="12" spans="2:16">
      <c r="B12" s="7">
        <f>IF(Experiments[[#This Row],[Active]]=TRUE,1,0)</f>
        <v>1</v>
      </c>
      <c r="C12" s="7" t="b">
        <v>1</v>
      </c>
      <c r="D12" s="21" t="s">
        <v>1284</v>
      </c>
      <c r="E12" s="21" t="s">
        <v>1285</v>
      </c>
      <c r="F12" s="21"/>
      <c r="G12" s="99" t="s">
        <v>49</v>
      </c>
      <c r="H12" s="99" t="b">
        <v>0</v>
      </c>
      <c r="I12" s="98">
        <v>1000</v>
      </c>
      <c r="J12" s="98">
        <v>5</v>
      </c>
      <c r="K12" s="98">
        <v>1.3109999999999999</v>
      </c>
      <c r="L12" s="98">
        <v>2017</v>
      </c>
      <c r="M12" s="98">
        <v>2</v>
      </c>
      <c r="N12" s="99">
        <v>6.2928699999999997</v>
      </c>
      <c r="O12" s="15">
        <v>7</v>
      </c>
    </row>
    <row r="13" spans="2:16">
      <c r="B13" s="7">
        <f>IF(Experiments[[#This Row],[Active]]=TRUE,1,0)</f>
        <v>1</v>
      </c>
      <c r="C13" s="7" t="b">
        <v>1</v>
      </c>
      <c r="D13" s="21" t="s">
        <v>1286</v>
      </c>
      <c r="E13" s="21" t="s">
        <v>1287</v>
      </c>
      <c r="F13" s="21"/>
      <c r="G13" s="99" t="s">
        <v>49</v>
      </c>
      <c r="H13" s="99" t="b">
        <v>0</v>
      </c>
      <c r="I13" s="98">
        <v>1000</v>
      </c>
      <c r="J13" s="98">
        <v>5</v>
      </c>
      <c r="K13" s="98">
        <v>1.3248</v>
      </c>
      <c r="L13" s="98">
        <v>2017</v>
      </c>
      <c r="M13" s="98">
        <v>3</v>
      </c>
      <c r="N13" s="99">
        <v>6.2928699999999997</v>
      </c>
      <c r="O13" s="15">
        <v>11</v>
      </c>
    </row>
    <row r="14" spans="2:16">
      <c r="B14" s="7">
        <f>IF(Experiments[[#This Row],[Active]]=TRUE,1,0)</f>
        <v>1</v>
      </c>
      <c r="C14" s="7" t="b">
        <v>1</v>
      </c>
      <c r="D14" s="21" t="s">
        <v>1288</v>
      </c>
      <c r="E14" s="21" t="s">
        <v>1289</v>
      </c>
      <c r="F14" s="21"/>
      <c r="G14" s="99" t="s">
        <v>49</v>
      </c>
      <c r="H14" s="99" t="b">
        <v>0</v>
      </c>
      <c r="I14" s="98">
        <v>1000</v>
      </c>
      <c r="J14" s="98">
        <v>5</v>
      </c>
      <c r="K14" s="98">
        <v>1.3444</v>
      </c>
      <c r="L14" s="98">
        <v>2017</v>
      </c>
      <c r="M14" s="98">
        <v>4</v>
      </c>
      <c r="N14" s="99">
        <v>6.2928699999999997</v>
      </c>
      <c r="O14" s="15">
        <v>38</v>
      </c>
    </row>
    <row r="15" spans="2:16">
      <c r="B15" s="7">
        <f>IF(Experiments[[#This Row],[Active]]=TRUE,1,0)</f>
        <v>1</v>
      </c>
      <c r="C15" s="7" t="b">
        <v>1</v>
      </c>
      <c r="D15" s="21" t="s">
        <v>1290</v>
      </c>
      <c r="E15" s="21" t="s">
        <v>1291</v>
      </c>
      <c r="F15" s="21"/>
      <c r="G15" s="99" t="s">
        <v>49</v>
      </c>
      <c r="H15" s="99" t="b">
        <v>0</v>
      </c>
      <c r="I15" s="98">
        <v>1000</v>
      </c>
      <c r="J15" s="98">
        <v>5</v>
      </c>
      <c r="K15" s="98">
        <v>1.3444</v>
      </c>
      <c r="L15" s="98">
        <v>2017</v>
      </c>
      <c r="M15" s="98">
        <v>5</v>
      </c>
      <c r="N15" s="99">
        <v>6.2928699999999997</v>
      </c>
      <c r="O15" s="15">
        <v>39</v>
      </c>
    </row>
    <row r="16" spans="2:16">
      <c r="B16" s="7">
        <f>IF(Experiments[[#This Row],[Active]]=TRUE,1,0)</f>
        <v>1</v>
      </c>
      <c r="C16" s="7" t="b">
        <v>1</v>
      </c>
      <c r="D16" s="21" t="s">
        <v>1292</v>
      </c>
      <c r="E16" s="21" t="s">
        <v>1293</v>
      </c>
      <c r="F16" s="21"/>
      <c r="G16" s="99" t="s">
        <v>49</v>
      </c>
      <c r="H16" s="99" t="b">
        <v>0</v>
      </c>
      <c r="I16" s="98">
        <v>1000</v>
      </c>
      <c r="J16" s="98">
        <v>5</v>
      </c>
      <c r="K16" s="98">
        <v>1.3444</v>
      </c>
      <c r="L16" s="98">
        <v>2017</v>
      </c>
      <c r="M16" s="98">
        <v>6</v>
      </c>
      <c r="N16" s="99">
        <v>6.2928699999999997</v>
      </c>
      <c r="O16" s="15">
        <v>40</v>
      </c>
    </row>
    <row r="17" spans="2:15">
      <c r="B17" s="7">
        <f>IF(Experiments[[#This Row],[Active]]=TRUE,1,0)</f>
        <v>1</v>
      </c>
      <c r="C17" s="7" t="b">
        <v>1</v>
      </c>
      <c r="D17" s="21" t="s">
        <v>1294</v>
      </c>
      <c r="E17" s="21" t="s">
        <v>1295</v>
      </c>
      <c r="F17" s="21"/>
      <c r="G17" s="99" t="s">
        <v>49</v>
      </c>
      <c r="H17" s="99" t="b">
        <v>0</v>
      </c>
      <c r="I17" s="98">
        <v>1000</v>
      </c>
      <c r="J17" s="98">
        <v>5</v>
      </c>
      <c r="K17" s="98">
        <v>1.3444</v>
      </c>
      <c r="L17" s="98">
        <v>2017</v>
      </c>
      <c r="M17" s="98">
        <v>4</v>
      </c>
      <c r="N17" s="99">
        <v>6.2928699999999997</v>
      </c>
      <c r="O17" s="15">
        <v>41</v>
      </c>
    </row>
    <row r="18" spans="2:15">
      <c r="B18" s="7">
        <f>IF(Experiments[[#This Row],[Active]]=TRUE,1,0)</f>
        <v>1</v>
      </c>
      <c r="C18" s="7" t="b">
        <v>1</v>
      </c>
      <c r="D18" s="21" t="s">
        <v>1296</v>
      </c>
      <c r="E18" s="21" t="s">
        <v>1297</v>
      </c>
      <c r="F18" s="21"/>
      <c r="G18" s="99" t="s">
        <v>49</v>
      </c>
      <c r="H18" s="99" t="b">
        <v>0</v>
      </c>
      <c r="I18" s="98">
        <v>1000</v>
      </c>
      <c r="J18" s="98">
        <v>5</v>
      </c>
      <c r="K18" s="98">
        <v>1.3444</v>
      </c>
      <c r="L18" s="98">
        <v>2017</v>
      </c>
      <c r="M18" s="98">
        <v>4</v>
      </c>
      <c r="N18" s="99">
        <v>6.2928699999999997</v>
      </c>
      <c r="O18" s="15">
        <v>42</v>
      </c>
    </row>
  </sheetData>
  <dataConsolidate/>
  <mergeCells count="1">
    <mergeCell ref="B3:E3"/>
  </mergeCells>
  <conditionalFormatting sqref="N9:N18 B9:H18">
    <cfRule type="expression" dxfId="55" priority="13">
      <formula>$C9 = FALSE</formula>
    </cfRule>
  </conditionalFormatting>
  <conditionalFormatting sqref="C9:C18">
    <cfRule type="cellIs" dxfId="54" priority="34867" operator="equal">
      <formula>TRUE</formula>
    </cfRule>
    <cfRule type="cellIs" dxfId="53" priority="34868" operator="equal">
      <formula>FALSE</formula>
    </cfRule>
  </conditionalFormatting>
  <conditionalFormatting sqref="H9:H18">
    <cfRule type="cellIs" dxfId="52" priority="1" operator="equal">
      <formula>TRUE</formula>
    </cfRule>
    <cfRule type="cellIs" dxfId="51" priority="2" operator="equal">
      <formula>FALSE</formula>
    </cfRule>
  </conditionalFormatting>
  <conditionalFormatting sqref="D9:D18">
    <cfRule type="duplicateValues" dxfId="50" priority="41685"/>
  </conditionalFormatting>
  <dataValidations count="3">
    <dataValidation type="list" allowBlank="1" showInputMessage="1" showErrorMessage="1" sqref="C9:C18">
      <formula1>"TRUE,FALSE"</formula1>
    </dataValidation>
    <dataValidation type="list" allowBlank="1" showInputMessage="1" showErrorMessage="1" sqref="H9:H18">
      <formula1>"TRUE, FALSE"</formula1>
    </dataValidation>
    <dataValidation type="list" showInputMessage="1" showErrorMessage="1" sqref="M9:M18">
      <formula1>"TRUE, FALSE"</formula1>
    </dataValidation>
  </dataValidations>
  <pageMargins left="0.70866141732283472" right="0.70866141732283472" top="0.74803149606299213" bottom="0.74803149606299213" header="0.31496062992125984" footer="0.31496062992125984"/>
  <pageSetup paperSize="5" scale="71" orientation="landscape" r:id="rId1"/>
  <headerFooter>
    <oddFooter>&amp;LDate Format: dd/mm/yyyy</oddFooter>
  </headerFooter>
  <drawing r:id="rId2"/>
  <legacyDrawing r:id="rId3"/>
  <controls>
    <mc:AlternateContent xmlns:mc="http://schemas.openxmlformats.org/markup-compatibility/2006">
      <mc:Choice Requires="x14">
        <control shapeId="4146" r:id="rId4" name="CommandButton5">
          <controlPr defaultSize="0" autoFill="0" autoLine="0" autoPict="0" r:id="rId5">
            <anchor>
              <from>
                <xdr:col>2</xdr:col>
                <xdr:colOff>495300</xdr:colOff>
                <xdr:row>5</xdr:row>
                <xdr:rowOff>47625</xdr:rowOff>
              </from>
              <to>
                <xdr:col>3</xdr:col>
                <xdr:colOff>590550</xdr:colOff>
                <xdr:row>5</xdr:row>
                <xdr:rowOff>295275</xdr:rowOff>
              </to>
            </anchor>
          </controlPr>
        </control>
      </mc:Choice>
      <mc:Fallback>
        <control shapeId="4146" r:id="rId4" name="CommandButton5"/>
      </mc:Fallback>
    </mc:AlternateContent>
    <mc:AlternateContent xmlns:mc="http://schemas.openxmlformats.org/markup-compatibility/2006">
      <mc:Choice Requires="x14">
        <control shapeId="4132" r:id="rId6" name="ExpRefBtn">
          <controlPr defaultSize="0" autoFill="0" autoLine="0" autoPict="0" r:id="rId7">
            <anchor>
              <from>
                <xdr:col>0</xdr:col>
                <xdr:colOff>171450</xdr:colOff>
                <xdr:row>5</xdr:row>
                <xdr:rowOff>47625</xdr:rowOff>
              </from>
              <to>
                <xdr:col>2</xdr:col>
                <xdr:colOff>371475</xdr:colOff>
                <xdr:row>5</xdr:row>
                <xdr:rowOff>295275</xdr:rowOff>
              </to>
            </anchor>
          </controlPr>
        </control>
      </mc:Choice>
      <mc:Fallback>
        <control shapeId="4132" r:id="rId6" name="ExpRefBtn"/>
      </mc:Fallback>
    </mc:AlternateContent>
    <mc:AlternateContent xmlns:mc="http://schemas.openxmlformats.org/markup-compatibility/2006">
      <mc:Choice Requires="x14">
        <control shapeId="4131" r:id="rId8" name="ExpDelBtn">
          <controlPr defaultSize="0" autoFill="0" autoLine="0" autoPict="0" r:id="rId9">
            <anchor>
              <from>
                <xdr:col>4</xdr:col>
                <xdr:colOff>638175</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12" r:id="rId10" name="ComboBox1">
          <controlPr defaultSize="0" autoLine="0" autoPict="0" linkedCell="$F$1" r:id="rId11">
            <anchor>
              <from>
                <xdr:col>1</xdr:col>
                <xdr:colOff>0</xdr:colOff>
                <xdr:row>3</xdr:row>
                <xdr:rowOff>95250</xdr:rowOff>
              </from>
              <to>
                <xdr:col>4</xdr:col>
                <xdr:colOff>1476375</xdr:colOff>
                <xdr:row>4</xdr:row>
                <xdr:rowOff>152400</xdr:rowOff>
              </to>
            </anchor>
          </controlPr>
        </control>
      </mc:Choice>
      <mc:Fallback>
        <control shapeId="4112" r:id="rId10" name="ComboBox1"/>
      </mc:Fallback>
    </mc:AlternateContent>
    <mc:AlternateContent xmlns:mc="http://schemas.openxmlformats.org/markup-compatibility/2006">
      <mc:Choice Requires="x14">
        <control shapeId="4155" r:id="rId12" name="CommandButton6">
          <controlPr defaultSize="0" autoFill="0" autoLine="0" autoPict="0" r:id="rId13">
            <anchor>
              <from>
                <xdr:col>3</xdr:col>
                <xdr:colOff>723900</xdr:colOff>
                <xdr:row>5</xdr:row>
                <xdr:rowOff>47625</xdr:rowOff>
              </from>
              <to>
                <xdr:col>4</xdr:col>
                <xdr:colOff>514350</xdr:colOff>
                <xdr:row>5</xdr:row>
                <xdr:rowOff>295275</xdr:rowOff>
              </to>
            </anchor>
          </controlPr>
        </control>
      </mc:Choice>
      <mc:Fallback>
        <control shapeId="4155" r:id="rId12" name="CommandButton6"/>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1686"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B9:C18</xm:sqref>
        </x14:conditionalFormatting>
        <x14:conditionalFormatting xmlns:xm="http://schemas.microsoft.com/office/excel/2006/main">
          <x14:cfRule type="iconSet" priority="41687"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H9:H18</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abSelected="1"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E10" sqref="E10"/>
    </sheetView>
  </sheetViews>
  <sheetFormatPr defaultRowHeight="15"/>
  <cols>
    <col min="1" max="1" width="21.28515625" style="27" customWidth="1"/>
    <col min="2" max="2" width="6.42578125" bestFit="1" customWidth="1"/>
    <col min="3" max="3" width="11.140625" style="15" bestFit="1" customWidth="1"/>
    <col min="4" max="5" width="31.140625" bestFit="1" customWidth="1"/>
    <col min="6" max="6" width="15.140625" bestFit="1" customWidth="1"/>
    <col min="7" max="7" width="7.42578125" bestFit="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7"/>
      <c r="B2" s="101" t="s">
        <v>1298</v>
      </c>
      <c r="C2" s="101"/>
      <c r="D2" s="101"/>
      <c r="E2" s="101"/>
    </row>
    <row r="3" spans="1:12" s="4" customFormat="1" ht="9" customHeight="1" thickTop="1">
      <c r="A3" s="27"/>
      <c r="C3" s="24"/>
    </row>
    <row r="4" spans="1:12" s="13" customFormat="1" ht="15" customHeight="1">
      <c r="A4" s="27"/>
      <c r="B4" s="20" t="s">
        <v>11</v>
      </c>
      <c r="C4" s="19" t="s">
        <v>1</v>
      </c>
      <c r="D4" s="19" t="s">
        <v>0</v>
      </c>
      <c r="E4" s="19" t="s">
        <v>3</v>
      </c>
      <c r="F4" s="19" t="s">
        <v>4</v>
      </c>
      <c r="G4" s="19" t="s">
        <v>20</v>
      </c>
    </row>
    <row r="5" spans="1:12">
      <c r="A5" s="28"/>
      <c r="B5" s="32">
        <f>IF(Shippers[[#This Row],[Active]]=TRUE,1,0)</f>
        <v>1</v>
      </c>
      <c r="C5" s="33" t="b">
        <v>1</v>
      </c>
      <c r="D5" s="31" t="s">
        <v>1299</v>
      </c>
      <c r="E5" s="50" t="s">
        <v>1300</v>
      </c>
      <c r="F5" s="50"/>
      <c r="G5" s="64">
        <v>1</v>
      </c>
    </row>
    <row r="6" spans="1:12">
      <c r="B6" s="73">
        <f>IF(Shippers[[#This Row],[Active]]=TRUE,1,0)</f>
        <v>1</v>
      </c>
      <c r="C6" s="75" t="b">
        <v>1</v>
      </c>
      <c r="D6" s="73" t="s">
        <v>1301</v>
      </c>
      <c r="E6" s="76" t="s">
        <v>1301</v>
      </c>
      <c r="F6" s="76"/>
      <c r="G6" s="78">
        <v>2</v>
      </c>
    </row>
    <row r="7" spans="1:12">
      <c r="B7" s="73">
        <f>IF(Shippers[[#This Row],[Active]]=TRUE,1,0)</f>
        <v>1</v>
      </c>
      <c r="C7" s="75" t="b">
        <v>1</v>
      </c>
      <c r="D7" s="73" t="s">
        <v>1302</v>
      </c>
      <c r="E7" s="76" t="s">
        <v>1302</v>
      </c>
      <c r="F7" s="76"/>
      <c r="G7" s="78">
        <v>3</v>
      </c>
    </row>
    <row r="8" spans="1:12">
      <c r="B8" s="73">
        <f>IF(Shippers[[#This Row],[Active]]=TRUE,1,0)</f>
        <v>1</v>
      </c>
      <c r="C8" s="75" t="b">
        <v>1</v>
      </c>
      <c r="D8" s="73" t="s">
        <v>1303</v>
      </c>
      <c r="E8" s="76" t="s">
        <v>1303</v>
      </c>
      <c r="F8" s="76"/>
      <c r="G8" s="78">
        <v>4</v>
      </c>
    </row>
    <row r="9" spans="1:12">
      <c r="B9" s="73">
        <f>IF(Shippers[[#This Row],[Active]]=TRUE,1,0)</f>
        <v>1</v>
      </c>
      <c r="C9" s="75" t="b">
        <v>1</v>
      </c>
      <c r="D9" s="73" t="s">
        <v>1304</v>
      </c>
      <c r="E9" s="76" t="s">
        <v>1304</v>
      </c>
      <c r="F9" s="76"/>
      <c r="G9" s="78">
        <v>5</v>
      </c>
    </row>
    <row r="10" spans="1:12">
      <c r="B10" s="73">
        <f>IF(Shippers[[#This Row],[Active]]=TRUE,1,0)</f>
        <v>1</v>
      </c>
      <c r="C10" s="75" t="b">
        <v>1</v>
      </c>
      <c r="D10" s="73" t="s">
        <v>1305</v>
      </c>
      <c r="E10" s="76" t="s">
        <v>1305</v>
      </c>
      <c r="F10" s="76"/>
      <c r="G10" s="78">
        <v>6</v>
      </c>
    </row>
    <row r="11" spans="1:12">
      <c r="B11" s="73">
        <f>IF(Shippers[[#This Row],[Active]]=TRUE,1,0)</f>
        <v>1</v>
      </c>
      <c r="C11" s="75" t="b">
        <v>1</v>
      </c>
      <c r="D11" s="73" t="s">
        <v>1306</v>
      </c>
      <c r="E11" s="76" t="s">
        <v>1306</v>
      </c>
      <c r="F11" s="76"/>
      <c r="G11" s="78">
        <v>7</v>
      </c>
    </row>
    <row r="12" spans="1:12">
      <c r="B12" s="73">
        <f>IF(Shippers[[#This Row],[Active]]=TRUE,1,0)</f>
        <v>1</v>
      </c>
      <c r="C12" s="75" t="b">
        <v>1</v>
      </c>
      <c r="D12" s="73" t="s">
        <v>1307</v>
      </c>
      <c r="E12" s="76" t="s">
        <v>1307</v>
      </c>
      <c r="F12" s="76"/>
      <c r="G12" s="78">
        <v>8</v>
      </c>
    </row>
    <row r="13" spans="1:12">
      <c r="B13" s="73">
        <f>IF(Shippers[[#This Row],[Active]]=TRUE,1,0)</f>
        <v>1</v>
      </c>
      <c r="C13" s="75" t="b">
        <v>1</v>
      </c>
      <c r="D13" s="73" t="s">
        <v>1308</v>
      </c>
      <c r="E13" s="76" t="s">
        <v>1308</v>
      </c>
      <c r="F13" s="76"/>
      <c r="G13" s="78">
        <v>9</v>
      </c>
    </row>
    <row r="14" spans="1:12">
      <c r="B14" s="73">
        <f>IF(Shippers[[#This Row],[Active]]=TRUE,1,0)</f>
        <v>1</v>
      </c>
      <c r="C14" s="75" t="b">
        <v>1</v>
      </c>
      <c r="D14" s="73" t="s">
        <v>1309</v>
      </c>
      <c r="E14" s="76" t="s">
        <v>1309</v>
      </c>
      <c r="F14" s="76"/>
      <c r="G14" s="78">
        <v>10</v>
      </c>
    </row>
    <row r="15" spans="1:12">
      <c r="B15" s="73">
        <f>IF(Shippers[[#This Row],[Active]]=TRUE,1,0)</f>
        <v>1</v>
      </c>
      <c r="C15" s="75" t="b">
        <v>1</v>
      </c>
      <c r="D15" s="73" t="s">
        <v>1310</v>
      </c>
      <c r="E15" s="76" t="s">
        <v>1310</v>
      </c>
      <c r="F15" s="76"/>
      <c r="G15" s="78">
        <v>11</v>
      </c>
    </row>
    <row r="16" spans="1:12">
      <c r="B16" s="73">
        <f>IF(Shippers[[#This Row],[Active]]=TRUE,1,0)</f>
        <v>1</v>
      </c>
      <c r="C16" s="75" t="b">
        <v>1</v>
      </c>
      <c r="D16" s="73" t="s">
        <v>588</v>
      </c>
      <c r="E16" s="76" t="s">
        <v>588</v>
      </c>
      <c r="F16" s="76"/>
      <c r="G16" s="78">
        <v>12</v>
      </c>
    </row>
    <row r="17" spans="2:7">
      <c r="B17" s="73">
        <f>IF(Shippers[[#This Row],[Active]]=TRUE,1,0)</f>
        <v>1</v>
      </c>
      <c r="C17" s="75" t="b">
        <v>1</v>
      </c>
      <c r="D17" s="73" t="s">
        <v>1311</v>
      </c>
      <c r="E17" s="76" t="s">
        <v>1311</v>
      </c>
      <c r="F17" s="76"/>
      <c r="G17" s="78">
        <v>13</v>
      </c>
    </row>
    <row r="18" spans="2:7">
      <c r="B18" s="73">
        <f>IF(Shippers[[#This Row],[Active]]=TRUE,1,0)</f>
        <v>1</v>
      </c>
      <c r="C18" s="75" t="b">
        <v>1</v>
      </c>
      <c r="D18" s="73" t="s">
        <v>1312</v>
      </c>
      <c r="E18" s="76" t="s">
        <v>1312</v>
      </c>
      <c r="F18" s="76"/>
      <c r="G18" s="78">
        <v>14</v>
      </c>
    </row>
    <row r="19" spans="2:7">
      <c r="B19" s="73">
        <f>IF(Shippers[[#This Row],[Active]]=TRUE,1,0)</f>
        <v>0</v>
      </c>
      <c r="C19" s="75" t="b">
        <v>0</v>
      </c>
      <c r="D19" s="73" t="s">
        <v>1313</v>
      </c>
      <c r="E19" s="76" t="s">
        <v>1313</v>
      </c>
      <c r="F19" s="76"/>
      <c r="G19" s="78">
        <v>15</v>
      </c>
    </row>
    <row r="20" spans="2:7">
      <c r="B20" s="73">
        <f>IF(Shippers[[#This Row],[Active]]=TRUE,1,0)</f>
        <v>1</v>
      </c>
      <c r="C20" s="75" t="b">
        <v>1</v>
      </c>
      <c r="D20" s="73" t="s">
        <v>1314</v>
      </c>
      <c r="E20" s="76" t="s">
        <v>1314</v>
      </c>
      <c r="F20" s="76"/>
      <c r="G20" s="78">
        <v>16</v>
      </c>
    </row>
    <row r="21" spans="2:7">
      <c r="B21" s="73">
        <f>IF(Shippers[[#This Row],[Active]]=TRUE,1,0)</f>
        <v>1</v>
      </c>
      <c r="C21" s="75" t="b">
        <v>1</v>
      </c>
      <c r="D21" s="73" t="s">
        <v>1315</v>
      </c>
      <c r="E21" s="76" t="s">
        <v>1315</v>
      </c>
      <c r="F21" s="76"/>
      <c r="G21" s="78">
        <v>17</v>
      </c>
    </row>
    <row r="22" spans="2:7">
      <c r="B22" s="73">
        <f>IF(Shippers[[#This Row],[Active]]=TRUE,1,0)</f>
        <v>1</v>
      </c>
      <c r="C22" s="75" t="b">
        <v>1</v>
      </c>
      <c r="D22" s="73" t="s">
        <v>1316</v>
      </c>
      <c r="E22" s="76" t="s">
        <v>1316</v>
      </c>
      <c r="F22" s="76"/>
      <c r="G22" s="78">
        <v>18</v>
      </c>
    </row>
    <row r="23" spans="2:7">
      <c r="B23" s="73">
        <f>IF(Shippers[[#This Row],[Active]]=TRUE,1,0)</f>
        <v>1</v>
      </c>
      <c r="C23" s="75" t="b">
        <v>1</v>
      </c>
      <c r="D23" s="73" t="s">
        <v>1317</v>
      </c>
      <c r="E23" s="76" t="s">
        <v>1317</v>
      </c>
      <c r="F23" s="76"/>
      <c r="G23" s="78">
        <v>19</v>
      </c>
    </row>
    <row r="24" spans="2:7">
      <c r="B24" s="73">
        <f>IF(Shippers[[#This Row],[Active]]=TRUE,1,0)</f>
        <v>1</v>
      </c>
      <c r="C24" s="75" t="b">
        <v>1</v>
      </c>
      <c r="D24" s="73" t="s">
        <v>1318</v>
      </c>
      <c r="E24" s="76" t="s">
        <v>1318</v>
      </c>
      <c r="F24" s="76"/>
      <c r="G24" s="78">
        <v>20</v>
      </c>
    </row>
    <row r="25" spans="2:7">
      <c r="B25" s="73">
        <f>IF(Shippers[[#This Row],[Active]]=TRUE,1,0)</f>
        <v>1</v>
      </c>
      <c r="C25" s="75" t="b">
        <v>1</v>
      </c>
      <c r="D25" s="73" t="s">
        <v>1319</v>
      </c>
      <c r="E25" s="76" t="s">
        <v>1319</v>
      </c>
      <c r="F25" s="76"/>
      <c r="G25" s="78">
        <v>21</v>
      </c>
    </row>
    <row r="26" spans="2:7">
      <c r="B26" s="73">
        <f>IF(Shippers[[#This Row],[Active]]=TRUE,1,0)</f>
        <v>1</v>
      </c>
      <c r="C26" s="75" t="b">
        <v>1</v>
      </c>
      <c r="D26" s="73" t="s">
        <v>1320</v>
      </c>
      <c r="E26" s="76" t="s">
        <v>1320</v>
      </c>
      <c r="F26" s="76"/>
      <c r="G26" s="78">
        <v>22</v>
      </c>
    </row>
    <row r="27" spans="2:7">
      <c r="B27" s="73">
        <f>IF(Shippers[[#This Row],[Active]]=TRUE,1,0)</f>
        <v>1</v>
      </c>
      <c r="C27" s="75" t="b">
        <v>1</v>
      </c>
      <c r="D27" s="73" t="s">
        <v>1321</v>
      </c>
      <c r="E27" s="76" t="s">
        <v>1321</v>
      </c>
      <c r="F27" s="76"/>
      <c r="G27" s="78">
        <v>23</v>
      </c>
    </row>
    <row r="28" spans="2:7">
      <c r="B28" s="73">
        <f>IF(Shippers[[#This Row],[Active]]=TRUE,1,0)</f>
        <v>1</v>
      </c>
      <c r="C28" s="75" t="b">
        <v>1</v>
      </c>
      <c r="D28" s="73" t="s">
        <v>1322</v>
      </c>
      <c r="E28" s="76" t="s">
        <v>1322</v>
      </c>
      <c r="F28" s="76"/>
      <c r="G28" s="78">
        <v>24</v>
      </c>
    </row>
    <row r="29" spans="2:7">
      <c r="B29" s="73">
        <f>IF(Shippers[[#This Row],[Active]]=TRUE,1,0)</f>
        <v>1</v>
      </c>
      <c r="C29" s="75" t="b">
        <v>1</v>
      </c>
      <c r="D29" s="73" t="s">
        <v>1323</v>
      </c>
      <c r="E29" s="76" t="s">
        <v>1323</v>
      </c>
      <c r="F29" s="76"/>
      <c r="G29" s="78">
        <v>25</v>
      </c>
    </row>
    <row r="30" spans="2:7">
      <c r="B30" s="73">
        <f>IF(Shippers[[#This Row],[Active]]=TRUE,1,0)</f>
        <v>1</v>
      </c>
      <c r="C30" s="75" t="b">
        <v>1</v>
      </c>
      <c r="D30" s="73" t="s">
        <v>1324</v>
      </c>
      <c r="E30" s="76" t="s">
        <v>1324</v>
      </c>
      <c r="F30" s="76"/>
      <c r="G30" s="78">
        <v>26</v>
      </c>
    </row>
    <row r="31" spans="2:7">
      <c r="B31" s="73">
        <f>IF(Shippers[[#This Row],[Active]]=TRUE,1,0)</f>
        <v>1</v>
      </c>
      <c r="C31" s="75" t="b">
        <v>1</v>
      </c>
      <c r="D31" s="73" t="s">
        <v>1325</v>
      </c>
      <c r="E31" s="76" t="s">
        <v>1325</v>
      </c>
      <c r="F31" s="76"/>
      <c r="G31" s="78">
        <v>27</v>
      </c>
    </row>
    <row r="32" spans="2:7">
      <c r="B32" s="73">
        <f>IF(Shippers[[#This Row],[Active]]=TRUE,1,0)</f>
        <v>1</v>
      </c>
      <c r="C32" s="75" t="b">
        <v>1</v>
      </c>
      <c r="D32" s="73" t="s">
        <v>1326</v>
      </c>
      <c r="E32" s="76" t="s">
        <v>1326</v>
      </c>
      <c r="F32" s="76"/>
      <c r="G32" s="78">
        <v>28</v>
      </c>
    </row>
    <row r="33" spans="2:7">
      <c r="B33" s="73">
        <f>IF(Shippers[[#This Row],[Active]]=TRUE,1,0)</f>
        <v>1</v>
      </c>
      <c r="C33" s="75" t="b">
        <v>1</v>
      </c>
      <c r="D33" s="73" t="s">
        <v>1327</v>
      </c>
      <c r="E33" s="76" t="s">
        <v>1327</v>
      </c>
      <c r="F33" s="76"/>
      <c r="G33" s="78">
        <v>29</v>
      </c>
    </row>
    <row r="34" spans="2:7">
      <c r="B34" s="73">
        <f>IF(Shippers[[#This Row],[Active]]=TRUE,1,0)</f>
        <v>1</v>
      </c>
      <c r="C34" s="75" t="b">
        <v>1</v>
      </c>
      <c r="D34" s="73" t="s">
        <v>1328</v>
      </c>
      <c r="E34" s="76" t="s">
        <v>1328</v>
      </c>
      <c r="F34" s="76"/>
      <c r="G34" s="78">
        <v>30</v>
      </c>
    </row>
    <row r="35" spans="2:7">
      <c r="B35" s="73">
        <f>IF(Shippers[[#This Row],[Active]]=TRUE,1,0)</f>
        <v>1</v>
      </c>
      <c r="C35" s="75" t="b">
        <v>1</v>
      </c>
      <c r="D35" s="73" t="s">
        <v>1329</v>
      </c>
      <c r="E35" s="76" t="s">
        <v>1329</v>
      </c>
      <c r="F35" s="76"/>
      <c r="G35" s="78">
        <v>31</v>
      </c>
    </row>
    <row r="36" spans="2:7">
      <c r="B36" s="73">
        <f>IF(Shippers[[#This Row],[Active]]=TRUE,1,0)</f>
        <v>1</v>
      </c>
      <c r="C36" s="75" t="b">
        <v>1</v>
      </c>
      <c r="D36" s="73" t="s">
        <v>1330</v>
      </c>
      <c r="E36" s="76" t="s">
        <v>1330</v>
      </c>
      <c r="F36" s="76"/>
      <c r="G36" s="78">
        <v>32</v>
      </c>
    </row>
    <row r="37" spans="2:7">
      <c r="B37" s="73">
        <f>IF(Shippers[[#This Row],[Active]]=TRUE,1,0)</f>
        <v>1</v>
      </c>
      <c r="C37" s="75" t="b">
        <v>1</v>
      </c>
      <c r="D37" s="73" t="s">
        <v>1331</v>
      </c>
      <c r="E37" s="76" t="s">
        <v>1331</v>
      </c>
      <c r="F37" s="76"/>
      <c r="G37" s="78">
        <v>33</v>
      </c>
    </row>
    <row r="38" spans="2:7">
      <c r="B38" s="73">
        <f>IF(Shippers[[#This Row],[Active]]=TRUE,1,0)</f>
        <v>1</v>
      </c>
      <c r="C38" s="75" t="b">
        <v>1</v>
      </c>
      <c r="D38" s="73" t="s">
        <v>1332</v>
      </c>
      <c r="E38" s="76" t="s">
        <v>1332</v>
      </c>
      <c r="F38" s="76"/>
      <c r="G38" s="78">
        <v>34</v>
      </c>
    </row>
    <row r="39" spans="2:7">
      <c r="B39" s="73">
        <f>IF(Shippers[[#This Row],[Active]]=TRUE,1,0)</f>
        <v>1</v>
      </c>
      <c r="C39" s="75" t="b">
        <v>1</v>
      </c>
      <c r="D39" s="73" t="s">
        <v>1333</v>
      </c>
      <c r="E39" s="76" t="s">
        <v>1333</v>
      </c>
      <c r="F39" s="76"/>
      <c r="G39" s="78">
        <v>35</v>
      </c>
    </row>
    <row r="40" spans="2:7">
      <c r="B40" s="73">
        <f>IF(Shippers[[#This Row],[Active]]=TRUE,1,0)</f>
        <v>1</v>
      </c>
      <c r="C40" s="75" t="b">
        <v>1</v>
      </c>
      <c r="D40" s="73" t="s">
        <v>1334</v>
      </c>
      <c r="E40" s="76" t="s">
        <v>1334</v>
      </c>
      <c r="F40" s="76"/>
      <c r="G40" s="78">
        <v>36</v>
      </c>
    </row>
    <row r="41" spans="2:7">
      <c r="B41" s="73">
        <f>IF(Shippers[[#This Row],[Active]]=TRUE,1,0)</f>
        <v>1</v>
      </c>
      <c r="C41" s="75" t="b">
        <v>1</v>
      </c>
      <c r="D41" s="73" t="s">
        <v>1335</v>
      </c>
      <c r="E41" s="76" t="s">
        <v>1335</v>
      </c>
      <c r="F41" s="76"/>
      <c r="G41" s="78">
        <v>37</v>
      </c>
    </row>
    <row r="42" spans="2:7">
      <c r="B42" s="73">
        <f>IF(Shippers[[#This Row],[Active]]=TRUE,1,0)</f>
        <v>1</v>
      </c>
      <c r="C42" s="75" t="b">
        <v>1</v>
      </c>
      <c r="D42" s="73" t="s">
        <v>1336</v>
      </c>
      <c r="E42" s="76" t="s">
        <v>1336</v>
      </c>
      <c r="F42" s="76"/>
      <c r="G42" s="78">
        <v>38</v>
      </c>
    </row>
    <row r="43" spans="2:7">
      <c r="B43" s="73">
        <f>IF(Shippers[[#This Row],[Active]]=TRUE,1,0)</f>
        <v>1</v>
      </c>
      <c r="C43" s="75" t="b">
        <v>1</v>
      </c>
      <c r="D43" s="73" t="s">
        <v>1337</v>
      </c>
      <c r="E43" s="76" t="s">
        <v>1337</v>
      </c>
      <c r="F43" s="76"/>
      <c r="G43" s="78">
        <v>39</v>
      </c>
    </row>
    <row r="44" spans="2:7">
      <c r="B44" s="73">
        <f>IF(Shippers[[#This Row],[Active]]=TRUE,1,0)</f>
        <v>1</v>
      </c>
      <c r="C44" s="75" t="b">
        <v>1</v>
      </c>
      <c r="D44" s="73" t="s">
        <v>1338</v>
      </c>
      <c r="E44" s="76" t="s">
        <v>1338</v>
      </c>
      <c r="F44" s="76"/>
      <c r="G44" s="78">
        <v>40</v>
      </c>
    </row>
    <row r="45" spans="2:7">
      <c r="B45" s="73">
        <f>IF(Shippers[[#This Row],[Active]]=TRUE,1,0)</f>
        <v>1</v>
      </c>
      <c r="C45" s="75" t="b">
        <v>1</v>
      </c>
      <c r="D45" s="73" t="s">
        <v>1339</v>
      </c>
      <c r="E45" s="76" t="s">
        <v>1339</v>
      </c>
      <c r="F45" s="76"/>
      <c r="G45" s="78">
        <v>41</v>
      </c>
    </row>
    <row r="46" spans="2:7">
      <c r="B46" s="73">
        <f>IF(Shippers[[#This Row],[Active]]=TRUE,1,0)</f>
        <v>1</v>
      </c>
      <c r="C46" s="75" t="b">
        <v>1</v>
      </c>
      <c r="D46" s="73" t="s">
        <v>1340</v>
      </c>
      <c r="E46" s="76" t="s">
        <v>1340</v>
      </c>
      <c r="F46" s="76"/>
      <c r="G46" s="78">
        <v>42</v>
      </c>
    </row>
    <row r="47" spans="2:7">
      <c r="B47" s="73">
        <f>IF(Shippers[[#This Row],[Active]]=TRUE,1,0)</f>
        <v>1</v>
      </c>
      <c r="C47" s="75" t="b">
        <v>1</v>
      </c>
      <c r="D47" s="73" t="s">
        <v>1341</v>
      </c>
      <c r="E47" s="76" t="s">
        <v>1341</v>
      </c>
      <c r="F47" s="76"/>
      <c r="G47" s="78">
        <v>43</v>
      </c>
    </row>
    <row r="48" spans="2:7">
      <c r="B48" s="73">
        <f>IF(Shippers[[#This Row],[Active]]=TRUE,1,0)</f>
        <v>1</v>
      </c>
      <c r="C48" s="75" t="b">
        <v>1</v>
      </c>
      <c r="D48" s="73" t="s">
        <v>1342</v>
      </c>
      <c r="E48" s="76" t="s">
        <v>1342</v>
      </c>
      <c r="F48" s="76"/>
      <c r="G48" s="78">
        <v>44</v>
      </c>
    </row>
    <row r="49" spans="2:7">
      <c r="B49" s="73">
        <f>IF(Shippers[[#This Row],[Active]]=TRUE,1,0)</f>
        <v>1</v>
      </c>
      <c r="C49" s="75" t="b">
        <v>1</v>
      </c>
      <c r="D49" s="73" t="s">
        <v>1343</v>
      </c>
      <c r="E49" s="76" t="s">
        <v>1343</v>
      </c>
      <c r="F49" s="76"/>
      <c r="G49" s="78">
        <v>45</v>
      </c>
    </row>
    <row r="50" spans="2:7">
      <c r="B50" s="73">
        <f>IF(Shippers[[#This Row],[Active]]=TRUE,1,0)</f>
        <v>1</v>
      </c>
      <c r="C50" s="75" t="b">
        <v>1</v>
      </c>
      <c r="D50" s="73" t="s">
        <v>1344</v>
      </c>
      <c r="E50" s="76" t="s">
        <v>1344</v>
      </c>
      <c r="F50" s="76"/>
      <c r="G50" s="78">
        <v>46</v>
      </c>
    </row>
    <row r="51" spans="2:7">
      <c r="B51" s="73">
        <f>IF(Shippers[[#This Row],[Active]]=TRUE,1,0)</f>
        <v>1</v>
      </c>
      <c r="C51" s="75" t="b">
        <v>1</v>
      </c>
      <c r="D51" s="73" t="s">
        <v>1345</v>
      </c>
      <c r="E51" s="76" t="s">
        <v>1345</v>
      </c>
      <c r="F51" s="76"/>
      <c r="G51" s="78">
        <v>47</v>
      </c>
    </row>
    <row r="52" spans="2:7">
      <c r="B52" s="73">
        <f>IF(Shippers[[#This Row],[Active]]=TRUE,1,0)</f>
        <v>1</v>
      </c>
      <c r="C52" s="75" t="b">
        <v>1</v>
      </c>
      <c r="D52" s="73" t="s">
        <v>1346</v>
      </c>
      <c r="E52" s="76" t="s">
        <v>1346</v>
      </c>
      <c r="F52" s="76"/>
      <c r="G52" s="78">
        <v>48</v>
      </c>
    </row>
  </sheetData>
  <dataConsolidate/>
  <mergeCells count="1">
    <mergeCell ref="B2:E2"/>
  </mergeCells>
  <conditionalFormatting sqref="B5:G52">
    <cfRule type="expression" dxfId="49" priority="1">
      <formula>$C5 = FALSE</formula>
    </cfRule>
  </conditionalFormatting>
  <conditionalFormatting sqref="C5:C52">
    <cfRule type="containsText" dxfId="48" priority="2" operator="containsText" text="TRUE">
      <formula>NOT(ISERROR(SEARCH("TRUE",C5)))</formula>
    </cfRule>
    <cfRule type="containsText" dxfId="47"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8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89"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70"/>
  <sheetViews>
    <sheetView showGridLines="0" topLeftCell="A2" zoomScaleNormal="100" workbookViewId="0">
      <pane xSplit="1" ySplit="3" topLeftCell="B17" activePane="bottomRight" state="frozen"/>
      <selection activeCell="J37" sqref="J37"/>
      <selection pane="topRight" activeCell="J37" sqref="J37"/>
      <selection pane="bottomLeft" activeCell="J37" sqref="J37"/>
      <selection pane="bottomRight" activeCell="J37" sqref="J37"/>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7.140625" bestFit="1" customWidth="1"/>
    <col min="6" max="6" width="34.85546875" bestFit="1" customWidth="1"/>
    <col min="7" max="7" width="12.5703125" bestFit="1" customWidth="1"/>
    <col min="8" max="8" width="10.7109375" bestFit="1" customWidth="1"/>
    <col min="9" max="9" width="12.5703125" hidden="1" customWidth="1"/>
    <col min="10" max="10" width="9.42578125" bestFit="1" customWidth="1"/>
    <col min="11" max="11" width="14.28515625" bestFit="1" customWidth="1"/>
    <col min="12" max="12" width="13.42578125" bestFit="1" customWidth="1"/>
    <col min="13" max="13" width="16.28515625" bestFit="1" customWidth="1"/>
    <col min="14" max="14" width="15.140625" bestFit="1" customWidth="1"/>
    <col min="15" max="15" width="15.85546875" customWidth="1"/>
    <col min="16" max="16" width="7.42578125" customWidth="1"/>
  </cols>
  <sheetData>
    <row r="1" spans="1:14" ht="74.25" hidden="1" customHeight="1">
      <c r="A1" s="16"/>
      <c r="N1">
        <v>52</v>
      </c>
    </row>
    <row r="2" spans="1:14" s="5" customFormat="1" ht="29.25" customHeight="1" thickBot="1">
      <c r="A2" s="27"/>
      <c r="B2" s="101" t="s">
        <v>56</v>
      </c>
      <c r="C2" s="101"/>
      <c r="D2" s="101"/>
      <c r="E2" s="101"/>
      <c r="F2" s="101"/>
      <c r="G2" s="101"/>
    </row>
    <row r="3" spans="1:14" s="4" customFormat="1" ht="9" customHeight="1" thickTop="1">
      <c r="A3" s="27"/>
      <c r="C3" s="24"/>
    </row>
    <row r="4" spans="1:14" s="13" customFormat="1" ht="15" customHeight="1">
      <c r="A4" s="27"/>
      <c r="B4" s="20" t="s">
        <v>11</v>
      </c>
      <c r="C4" s="19" t="s">
        <v>1</v>
      </c>
      <c r="D4" s="19" t="s">
        <v>0</v>
      </c>
      <c r="E4" s="19" t="s">
        <v>3</v>
      </c>
      <c r="F4" s="19" t="s">
        <v>50</v>
      </c>
      <c r="G4" s="19" t="s">
        <v>41</v>
      </c>
      <c r="H4" s="19" t="s">
        <v>51</v>
      </c>
      <c r="I4" s="19" t="s">
        <v>20</v>
      </c>
    </row>
    <row r="5" spans="1:14">
      <c r="A5" s="28"/>
      <c r="B5" s="32">
        <f>IF(Provinces[[#This Row],[Active]]=TRUE,1,0)</f>
        <v>1</v>
      </c>
      <c r="C5" s="33" t="b">
        <v>1</v>
      </c>
      <c r="D5" s="31" t="s">
        <v>54</v>
      </c>
      <c r="E5" s="50" t="s">
        <v>57</v>
      </c>
      <c r="F5" s="51" t="s">
        <v>58</v>
      </c>
      <c r="G5" s="31" t="s">
        <v>49</v>
      </c>
      <c r="H5" s="63">
        <v>0</v>
      </c>
      <c r="I5" s="64">
        <v>431</v>
      </c>
    </row>
    <row r="6" spans="1:14">
      <c r="B6" s="73">
        <f>IF(Provinces[[#This Row],[Active]]=TRUE,1,0)</f>
        <v>1</v>
      </c>
      <c r="C6" s="75" t="b">
        <v>1</v>
      </c>
      <c r="D6" s="73" t="s">
        <v>55</v>
      </c>
      <c r="E6" s="76" t="s">
        <v>59</v>
      </c>
      <c r="F6" s="76" t="s">
        <v>60</v>
      </c>
      <c r="G6" s="31" t="s">
        <v>49</v>
      </c>
      <c r="H6" s="78">
        <v>1</v>
      </c>
      <c r="I6" s="78">
        <v>432</v>
      </c>
    </row>
    <row r="7" spans="1:14">
      <c r="B7" s="73">
        <f>IF(Provinces[[#This Row],[Active]]=TRUE,1,0)</f>
        <v>1</v>
      </c>
      <c r="C7" s="75" t="b">
        <v>1</v>
      </c>
      <c r="D7" s="73" t="s">
        <v>61</v>
      </c>
      <c r="E7" s="76" t="s">
        <v>62</v>
      </c>
      <c r="F7" s="76" t="s">
        <v>63</v>
      </c>
      <c r="G7" s="31" t="s">
        <v>49</v>
      </c>
      <c r="H7" s="78">
        <v>2</v>
      </c>
      <c r="I7" s="78">
        <v>433</v>
      </c>
    </row>
    <row r="8" spans="1:14">
      <c r="B8" s="73">
        <f>IF(Provinces[[#This Row],[Active]]=TRUE,1,0)</f>
        <v>1</v>
      </c>
      <c r="C8" s="75" t="b">
        <v>1</v>
      </c>
      <c r="D8" s="73" t="s">
        <v>64</v>
      </c>
      <c r="E8" s="76" t="s">
        <v>65</v>
      </c>
      <c r="F8" s="76" t="s">
        <v>66</v>
      </c>
      <c r="G8" s="31" t="s">
        <v>49</v>
      </c>
      <c r="H8" s="78">
        <v>3</v>
      </c>
      <c r="I8" s="78">
        <v>434</v>
      </c>
    </row>
    <row r="9" spans="1:14">
      <c r="B9" s="73">
        <f>IF(Provinces[[#This Row],[Active]]=TRUE,1,0)</f>
        <v>1</v>
      </c>
      <c r="C9" s="75" t="b">
        <v>1</v>
      </c>
      <c r="D9" s="73" t="s">
        <v>67</v>
      </c>
      <c r="E9" s="76" t="s">
        <v>68</v>
      </c>
      <c r="F9" s="76" t="s">
        <v>69</v>
      </c>
      <c r="G9" s="31" t="s">
        <v>49</v>
      </c>
      <c r="H9" s="78">
        <v>4</v>
      </c>
      <c r="I9" s="78">
        <v>435</v>
      </c>
    </row>
    <row r="10" spans="1:14">
      <c r="B10" s="73">
        <f>IF(Provinces[[#This Row],[Active]]=TRUE,1,0)</f>
        <v>1</v>
      </c>
      <c r="C10" s="75" t="b">
        <v>1</v>
      </c>
      <c r="D10" s="73" t="s">
        <v>70</v>
      </c>
      <c r="E10" s="76" t="s">
        <v>71</v>
      </c>
      <c r="F10" s="76" t="s">
        <v>72</v>
      </c>
      <c r="G10" s="31" t="s">
        <v>49</v>
      </c>
      <c r="H10" s="78">
        <v>5</v>
      </c>
      <c r="I10" s="78">
        <v>436</v>
      </c>
    </row>
    <row r="11" spans="1:14">
      <c r="B11" s="73">
        <f>IF(Provinces[[#This Row],[Active]]=TRUE,1,0)</f>
        <v>1</v>
      </c>
      <c r="C11" s="75" t="b">
        <v>1</v>
      </c>
      <c r="D11" s="73" t="s">
        <v>73</v>
      </c>
      <c r="E11" s="76" t="s">
        <v>74</v>
      </c>
      <c r="F11" s="76" t="s">
        <v>75</v>
      </c>
      <c r="G11" s="31" t="s">
        <v>49</v>
      </c>
      <c r="H11" s="78">
        <v>6</v>
      </c>
      <c r="I11" s="78">
        <v>437</v>
      </c>
    </row>
    <row r="12" spans="1:14">
      <c r="B12" s="73">
        <f>IF(Provinces[[#This Row],[Active]]=TRUE,1,0)</f>
        <v>1</v>
      </c>
      <c r="C12" s="75" t="b">
        <v>1</v>
      </c>
      <c r="D12" s="73" t="s">
        <v>76</v>
      </c>
      <c r="E12" s="76" t="s">
        <v>77</v>
      </c>
      <c r="F12" s="76" t="s">
        <v>78</v>
      </c>
      <c r="G12" s="31" t="s">
        <v>49</v>
      </c>
      <c r="H12" s="78">
        <v>7</v>
      </c>
      <c r="I12" s="78">
        <v>438</v>
      </c>
    </row>
    <row r="13" spans="1:14">
      <c r="B13" s="73">
        <f>IF(Provinces[[#This Row],[Active]]=TRUE,1,0)</f>
        <v>1</v>
      </c>
      <c r="C13" s="75" t="b">
        <v>1</v>
      </c>
      <c r="D13" s="73" t="s">
        <v>79</v>
      </c>
      <c r="E13" s="76" t="s">
        <v>80</v>
      </c>
      <c r="F13" s="76" t="s">
        <v>81</v>
      </c>
      <c r="G13" s="31" t="s">
        <v>49</v>
      </c>
      <c r="H13" s="78">
        <v>8</v>
      </c>
      <c r="I13" s="78">
        <v>439</v>
      </c>
    </row>
    <row r="14" spans="1:14">
      <c r="B14" s="73">
        <f>IF(Provinces[[#This Row],[Active]]=TRUE,1,0)</f>
        <v>1</v>
      </c>
      <c r="C14" s="75" t="b">
        <v>1</v>
      </c>
      <c r="D14" s="73" t="s">
        <v>82</v>
      </c>
      <c r="E14" s="76" t="s">
        <v>83</v>
      </c>
      <c r="F14" s="76" t="s">
        <v>84</v>
      </c>
      <c r="G14" s="31" t="s">
        <v>49</v>
      </c>
      <c r="H14" s="78">
        <v>9</v>
      </c>
      <c r="I14" s="78">
        <v>440</v>
      </c>
    </row>
    <row r="15" spans="1:14">
      <c r="B15" s="73">
        <f>IF(Provinces[[#This Row],[Active]]=TRUE,1,0)</f>
        <v>1</v>
      </c>
      <c r="C15" s="75" t="b">
        <v>1</v>
      </c>
      <c r="D15" s="73" t="s">
        <v>85</v>
      </c>
      <c r="E15" s="76" t="s">
        <v>86</v>
      </c>
      <c r="F15" s="76" t="s">
        <v>87</v>
      </c>
      <c r="G15" s="31" t="s">
        <v>49</v>
      </c>
      <c r="H15" s="78">
        <v>10</v>
      </c>
      <c r="I15" s="78">
        <v>441</v>
      </c>
    </row>
    <row r="16" spans="1:14">
      <c r="B16" s="73">
        <f>IF(Provinces[[#This Row],[Active]]=TRUE,1,0)</f>
        <v>1</v>
      </c>
      <c r="C16" s="75" t="b">
        <v>1</v>
      </c>
      <c r="D16" s="73" t="s">
        <v>88</v>
      </c>
      <c r="E16" s="76" t="s">
        <v>89</v>
      </c>
      <c r="F16" s="76" t="s">
        <v>90</v>
      </c>
      <c r="G16" s="31" t="s">
        <v>49</v>
      </c>
      <c r="H16" s="78">
        <v>11</v>
      </c>
      <c r="I16" s="78">
        <v>442</v>
      </c>
    </row>
    <row r="17" spans="2:9">
      <c r="B17" s="73">
        <f>IF(Provinces[[#This Row],[Active]]=TRUE,1,0)</f>
        <v>1</v>
      </c>
      <c r="C17" s="75" t="b">
        <v>1</v>
      </c>
      <c r="D17" s="73" t="s">
        <v>91</v>
      </c>
      <c r="E17" s="76" t="s">
        <v>92</v>
      </c>
      <c r="F17" s="76" t="s">
        <v>93</v>
      </c>
      <c r="G17" s="31" t="s">
        <v>49</v>
      </c>
      <c r="H17" s="78">
        <v>12</v>
      </c>
      <c r="I17" s="78">
        <v>443</v>
      </c>
    </row>
    <row r="18" spans="2:9">
      <c r="B18" s="73">
        <f>IF(Provinces[[#This Row],[Active]]=TRUE,1,0)</f>
        <v>1</v>
      </c>
      <c r="C18" s="75" t="b">
        <v>1</v>
      </c>
      <c r="D18" s="73" t="s">
        <v>204</v>
      </c>
      <c r="E18" s="76" t="s">
        <v>205</v>
      </c>
      <c r="F18" s="76" t="s">
        <v>206</v>
      </c>
      <c r="G18" s="31" t="s">
        <v>53</v>
      </c>
      <c r="H18" s="78">
        <v>13</v>
      </c>
      <c r="I18" s="78">
        <v>444</v>
      </c>
    </row>
    <row r="19" spans="2:9">
      <c r="B19" s="73">
        <f>IF(Provinces[[#This Row],[Active]]=TRUE,1,0)</f>
        <v>1</v>
      </c>
      <c r="C19" s="75" t="b">
        <v>1</v>
      </c>
      <c r="D19" s="73" t="s">
        <v>207</v>
      </c>
      <c r="E19" s="76" t="s">
        <v>208</v>
      </c>
      <c r="F19" s="76" t="s">
        <v>209</v>
      </c>
      <c r="G19" s="31" t="s">
        <v>53</v>
      </c>
      <c r="H19" s="78">
        <v>14</v>
      </c>
      <c r="I19" s="78">
        <v>445</v>
      </c>
    </row>
    <row r="20" spans="2:9">
      <c r="B20" s="73">
        <f>IF(Provinces[[#This Row],[Active]]=TRUE,1,0)</f>
        <v>1</v>
      </c>
      <c r="C20" s="75" t="b">
        <v>1</v>
      </c>
      <c r="D20" s="73" t="s">
        <v>210</v>
      </c>
      <c r="E20" s="76" t="s">
        <v>211</v>
      </c>
      <c r="F20" s="76" t="s">
        <v>212</v>
      </c>
      <c r="G20" s="31" t="s">
        <v>53</v>
      </c>
      <c r="H20" s="78">
        <v>15</v>
      </c>
      <c r="I20" s="78">
        <v>446</v>
      </c>
    </row>
    <row r="21" spans="2:9">
      <c r="B21" s="73">
        <f>IF(Provinces[[#This Row],[Active]]=TRUE,1,0)</f>
        <v>1</v>
      </c>
      <c r="C21" s="75" t="b">
        <v>1</v>
      </c>
      <c r="D21" s="73" t="s">
        <v>213</v>
      </c>
      <c r="E21" s="76" t="s">
        <v>214</v>
      </c>
      <c r="F21" s="76" t="s">
        <v>215</v>
      </c>
      <c r="G21" s="31" t="s">
        <v>53</v>
      </c>
      <c r="H21" s="78">
        <v>16</v>
      </c>
      <c r="I21" s="78">
        <v>447</v>
      </c>
    </row>
    <row r="22" spans="2:9">
      <c r="B22" s="73">
        <f>IF(Provinces[[#This Row],[Active]]=TRUE,1,0)</f>
        <v>1</v>
      </c>
      <c r="C22" s="75" t="b">
        <v>1</v>
      </c>
      <c r="D22" s="73" t="s">
        <v>198</v>
      </c>
      <c r="E22" s="76" t="s">
        <v>200</v>
      </c>
      <c r="F22" s="76" t="s">
        <v>201</v>
      </c>
      <c r="G22" s="31" t="s">
        <v>53</v>
      </c>
      <c r="H22" s="78">
        <v>17</v>
      </c>
      <c r="I22" s="78">
        <v>448</v>
      </c>
    </row>
    <row r="23" spans="2:9">
      <c r="B23" s="73">
        <f>IF(Provinces[[#This Row],[Active]]=TRUE,1,0)</f>
        <v>1</v>
      </c>
      <c r="C23" s="75" t="b">
        <v>1</v>
      </c>
      <c r="D23" s="73" t="s">
        <v>120</v>
      </c>
      <c r="E23" s="76" t="s">
        <v>118</v>
      </c>
      <c r="F23" s="76" t="s">
        <v>119</v>
      </c>
      <c r="G23" s="31" t="s">
        <v>53</v>
      </c>
      <c r="H23" s="78">
        <v>18</v>
      </c>
      <c r="I23" s="78">
        <v>449</v>
      </c>
    </row>
    <row r="24" spans="2:9">
      <c r="B24" s="73">
        <f>IF(Provinces[[#This Row],[Active]]=TRUE,1,0)</f>
        <v>1</v>
      </c>
      <c r="C24" s="75" t="b">
        <v>1</v>
      </c>
      <c r="D24" s="73" t="s">
        <v>216</v>
      </c>
      <c r="E24" s="76" t="s">
        <v>217</v>
      </c>
      <c r="F24" s="76" t="s">
        <v>218</v>
      </c>
      <c r="G24" s="31" t="s">
        <v>53</v>
      </c>
      <c r="H24" s="78">
        <v>19</v>
      </c>
      <c r="I24" s="78">
        <v>450</v>
      </c>
    </row>
    <row r="25" spans="2:9">
      <c r="B25" s="73">
        <f>IF(Provinces[[#This Row],[Active]]=TRUE,1,0)</f>
        <v>1</v>
      </c>
      <c r="C25" s="75" t="b">
        <v>1</v>
      </c>
      <c r="D25" s="73" t="s">
        <v>219</v>
      </c>
      <c r="E25" s="76" t="s">
        <v>220</v>
      </c>
      <c r="F25" s="76" t="s">
        <v>221</v>
      </c>
      <c r="G25" s="31" t="s">
        <v>53</v>
      </c>
      <c r="H25" s="78">
        <v>20</v>
      </c>
      <c r="I25" s="78">
        <v>451</v>
      </c>
    </row>
    <row r="26" spans="2:9">
      <c r="B26" s="73">
        <f>IF(Provinces[[#This Row],[Active]]=TRUE,1,0)</f>
        <v>1</v>
      </c>
      <c r="C26" s="75" t="b">
        <v>1</v>
      </c>
      <c r="D26" s="73" t="s">
        <v>222</v>
      </c>
      <c r="E26" s="76" t="s">
        <v>223</v>
      </c>
      <c r="F26" s="76" t="s">
        <v>224</v>
      </c>
      <c r="G26" s="31" t="s">
        <v>53</v>
      </c>
      <c r="H26" s="78">
        <v>21</v>
      </c>
      <c r="I26" s="78">
        <v>452</v>
      </c>
    </row>
    <row r="27" spans="2:9">
      <c r="B27" s="73">
        <f>IF(Provinces[[#This Row],[Active]]=TRUE,1,0)</f>
        <v>1</v>
      </c>
      <c r="C27" s="75" t="b">
        <v>1</v>
      </c>
      <c r="D27" s="73" t="s">
        <v>145</v>
      </c>
      <c r="E27" s="76" t="s">
        <v>225</v>
      </c>
      <c r="F27" s="76" t="s">
        <v>226</v>
      </c>
      <c r="G27" s="31" t="s">
        <v>53</v>
      </c>
      <c r="H27" s="78">
        <v>22</v>
      </c>
      <c r="I27" s="78">
        <v>453</v>
      </c>
    </row>
    <row r="28" spans="2:9">
      <c r="B28" s="73">
        <f>IF(Provinces[[#This Row],[Active]]=TRUE,1,0)</f>
        <v>1</v>
      </c>
      <c r="C28" s="75" t="b">
        <v>1</v>
      </c>
      <c r="D28" s="73" t="s">
        <v>227</v>
      </c>
      <c r="E28" s="76" t="s">
        <v>228</v>
      </c>
      <c r="F28" s="76" t="s">
        <v>229</v>
      </c>
      <c r="G28" s="31" t="s">
        <v>53</v>
      </c>
      <c r="H28" s="78">
        <v>23</v>
      </c>
      <c r="I28" s="78">
        <v>454</v>
      </c>
    </row>
    <row r="29" spans="2:9">
      <c r="B29" s="73">
        <f>IF(Provinces[[#This Row],[Active]]=TRUE,1,0)</f>
        <v>1</v>
      </c>
      <c r="C29" s="75" t="b">
        <v>1</v>
      </c>
      <c r="D29" s="73" t="s">
        <v>20</v>
      </c>
      <c r="E29" s="76" t="s">
        <v>230</v>
      </c>
      <c r="F29" s="76" t="s">
        <v>231</v>
      </c>
      <c r="G29" s="31" t="s">
        <v>53</v>
      </c>
      <c r="H29" s="78">
        <v>24</v>
      </c>
      <c r="I29" s="78">
        <v>455</v>
      </c>
    </row>
    <row r="30" spans="2:9">
      <c r="B30" s="73">
        <f>IF(Provinces[[#This Row],[Active]]=TRUE,1,0)</f>
        <v>1</v>
      </c>
      <c r="C30" s="75" t="b">
        <v>1</v>
      </c>
      <c r="D30" s="73" t="s">
        <v>132</v>
      </c>
      <c r="E30" s="76" t="s">
        <v>130</v>
      </c>
      <c r="F30" s="76" t="s">
        <v>131</v>
      </c>
      <c r="G30" s="31" t="s">
        <v>53</v>
      </c>
      <c r="H30" s="78">
        <v>25</v>
      </c>
      <c r="I30" s="78">
        <v>456</v>
      </c>
    </row>
    <row r="31" spans="2:9">
      <c r="B31" s="73">
        <f>IF(Provinces[[#This Row],[Active]]=TRUE,1,0)</f>
        <v>1</v>
      </c>
      <c r="C31" s="75" t="b">
        <v>1</v>
      </c>
      <c r="D31" s="73" t="s">
        <v>129</v>
      </c>
      <c r="E31" s="76" t="s">
        <v>127</v>
      </c>
      <c r="F31" s="76" t="s">
        <v>128</v>
      </c>
      <c r="G31" s="31" t="s">
        <v>53</v>
      </c>
      <c r="H31" s="78">
        <v>26</v>
      </c>
      <c r="I31" s="78">
        <v>457</v>
      </c>
    </row>
    <row r="32" spans="2:9">
      <c r="B32" s="73">
        <f>IF(Provinces[[#This Row],[Active]]=TRUE,1,0)</f>
        <v>1</v>
      </c>
      <c r="C32" s="75" t="b">
        <v>1</v>
      </c>
      <c r="D32" s="73" t="s">
        <v>232</v>
      </c>
      <c r="E32" s="76" t="s">
        <v>233</v>
      </c>
      <c r="F32" s="76" t="s">
        <v>234</v>
      </c>
      <c r="G32" s="31" t="s">
        <v>53</v>
      </c>
      <c r="H32" s="78">
        <v>27</v>
      </c>
      <c r="I32" s="78">
        <v>458</v>
      </c>
    </row>
    <row r="33" spans="2:9">
      <c r="B33" s="73">
        <f>IF(Provinces[[#This Row],[Active]]=TRUE,1,0)</f>
        <v>1</v>
      </c>
      <c r="C33" s="75" t="b">
        <v>1</v>
      </c>
      <c r="D33" s="73" t="s">
        <v>235</v>
      </c>
      <c r="E33" s="76" t="s">
        <v>236</v>
      </c>
      <c r="F33" s="76" t="s">
        <v>237</v>
      </c>
      <c r="G33" s="31" t="s">
        <v>53</v>
      </c>
      <c r="H33" s="78">
        <v>28</v>
      </c>
      <c r="I33" s="78">
        <v>459</v>
      </c>
    </row>
    <row r="34" spans="2:9">
      <c r="B34" s="73">
        <f>IF(Provinces[[#This Row],[Active]]=TRUE,1,0)</f>
        <v>1</v>
      </c>
      <c r="C34" s="75" t="b">
        <v>1</v>
      </c>
      <c r="D34" s="73" t="s">
        <v>238</v>
      </c>
      <c r="E34" s="76" t="s">
        <v>239</v>
      </c>
      <c r="F34" s="76" t="s">
        <v>240</v>
      </c>
      <c r="G34" s="31" t="s">
        <v>53</v>
      </c>
      <c r="H34" s="78">
        <v>29</v>
      </c>
      <c r="I34" s="78">
        <v>460</v>
      </c>
    </row>
    <row r="35" spans="2:9">
      <c r="B35" s="73">
        <f>IF(Provinces[[#This Row],[Active]]=TRUE,1,0)</f>
        <v>1</v>
      </c>
      <c r="C35" s="75" t="b">
        <v>1</v>
      </c>
      <c r="D35" s="73" t="s">
        <v>241</v>
      </c>
      <c r="E35" s="76" t="s">
        <v>242</v>
      </c>
      <c r="F35" s="76" t="s">
        <v>243</v>
      </c>
      <c r="G35" s="31" t="s">
        <v>53</v>
      </c>
      <c r="H35" s="78">
        <v>30</v>
      </c>
      <c r="I35" s="78">
        <v>461</v>
      </c>
    </row>
    <row r="36" spans="2:9">
      <c r="B36" s="73">
        <f>IF(Provinces[[#This Row],[Active]]=TRUE,1,0)</f>
        <v>1</v>
      </c>
      <c r="C36" s="75" t="b">
        <v>1</v>
      </c>
      <c r="D36" s="73" t="s">
        <v>203</v>
      </c>
      <c r="E36" s="76" t="s">
        <v>196</v>
      </c>
      <c r="F36" s="76" t="s">
        <v>197</v>
      </c>
      <c r="G36" s="31" t="s">
        <v>53</v>
      </c>
      <c r="H36" s="78">
        <v>31</v>
      </c>
      <c r="I36" s="78">
        <v>462</v>
      </c>
    </row>
    <row r="37" spans="2:9">
      <c r="B37" s="73">
        <f>IF(Provinces[[#This Row],[Active]]=TRUE,1,0)</f>
        <v>1</v>
      </c>
      <c r="C37" s="75" t="b">
        <v>1</v>
      </c>
      <c r="D37" s="73" t="s">
        <v>244</v>
      </c>
      <c r="E37" s="76" t="s">
        <v>245</v>
      </c>
      <c r="F37" s="76" t="s">
        <v>246</v>
      </c>
      <c r="G37" s="31" t="s">
        <v>53</v>
      </c>
      <c r="H37" s="78">
        <v>32</v>
      </c>
      <c r="I37" s="78">
        <v>463</v>
      </c>
    </row>
    <row r="38" spans="2:9">
      <c r="B38" s="73">
        <f>IF(Provinces[[#This Row],[Active]]=TRUE,1,0)</f>
        <v>1</v>
      </c>
      <c r="C38" s="75" t="b">
        <v>1</v>
      </c>
      <c r="D38" s="73" t="s">
        <v>247</v>
      </c>
      <c r="E38" s="76" t="s">
        <v>248</v>
      </c>
      <c r="F38" s="76" t="s">
        <v>249</v>
      </c>
      <c r="G38" s="31" t="s">
        <v>53</v>
      </c>
      <c r="H38" s="78">
        <v>33</v>
      </c>
      <c r="I38" s="78">
        <v>464</v>
      </c>
    </row>
    <row r="39" spans="2:9">
      <c r="B39" s="73">
        <f>IF(Provinces[[#This Row],[Active]]=TRUE,1,0)</f>
        <v>1</v>
      </c>
      <c r="C39" s="75" t="b">
        <v>1</v>
      </c>
      <c r="D39" s="73" t="s">
        <v>114</v>
      </c>
      <c r="E39" s="76" t="s">
        <v>112</v>
      </c>
      <c r="F39" s="76" t="s">
        <v>113</v>
      </c>
      <c r="G39" s="31" t="s">
        <v>53</v>
      </c>
      <c r="H39" s="78">
        <v>34</v>
      </c>
      <c r="I39" s="78">
        <v>465</v>
      </c>
    </row>
    <row r="40" spans="2:9">
      <c r="B40" s="73">
        <f>IF(Provinces[[#This Row],[Active]]=TRUE,1,0)</f>
        <v>1</v>
      </c>
      <c r="C40" s="75" t="b">
        <v>1</v>
      </c>
      <c r="D40" s="73" t="s">
        <v>195</v>
      </c>
      <c r="E40" s="76" t="s">
        <v>193</v>
      </c>
      <c r="F40" s="76" t="s">
        <v>194</v>
      </c>
      <c r="G40" s="31" t="s">
        <v>53</v>
      </c>
      <c r="H40" s="78">
        <v>35</v>
      </c>
      <c r="I40" s="78">
        <v>466</v>
      </c>
    </row>
    <row r="41" spans="2:9">
      <c r="B41" s="73">
        <f>IF(Provinces[[#This Row],[Active]]=TRUE,1,0)</f>
        <v>1</v>
      </c>
      <c r="C41" s="75" t="b">
        <v>1</v>
      </c>
      <c r="D41" s="73" t="s">
        <v>117</v>
      </c>
      <c r="E41" s="76" t="s">
        <v>115</v>
      </c>
      <c r="F41" s="76" t="s">
        <v>116</v>
      </c>
      <c r="G41" s="31" t="s">
        <v>53</v>
      </c>
      <c r="H41" s="78">
        <v>36</v>
      </c>
      <c r="I41" s="78">
        <v>467</v>
      </c>
    </row>
    <row r="42" spans="2:9">
      <c r="B42" s="73">
        <f>IF(Provinces[[#This Row],[Active]]=TRUE,1,0)</f>
        <v>1</v>
      </c>
      <c r="C42" s="75" t="b">
        <v>1</v>
      </c>
      <c r="D42" s="73" t="s">
        <v>250</v>
      </c>
      <c r="E42" s="76" t="s">
        <v>251</v>
      </c>
      <c r="F42" s="76" t="s">
        <v>252</v>
      </c>
      <c r="G42" s="31" t="s">
        <v>53</v>
      </c>
      <c r="H42" s="78">
        <v>37</v>
      </c>
      <c r="I42" s="78">
        <v>468</v>
      </c>
    </row>
    <row r="43" spans="2:9">
      <c r="B43" s="73">
        <f>IF(Provinces[[#This Row],[Active]]=TRUE,1,0)</f>
        <v>1</v>
      </c>
      <c r="C43" s="75" t="b">
        <v>1</v>
      </c>
      <c r="D43" s="73" t="s">
        <v>138</v>
      </c>
      <c r="E43" s="76" t="s">
        <v>136</v>
      </c>
      <c r="F43" s="76" t="s">
        <v>137</v>
      </c>
      <c r="G43" s="31" t="s">
        <v>53</v>
      </c>
      <c r="H43" s="78">
        <v>38</v>
      </c>
      <c r="I43" s="78">
        <v>469</v>
      </c>
    </row>
    <row r="44" spans="2:9">
      <c r="B44" s="73">
        <f>IF(Provinces[[#This Row],[Active]]=TRUE,1,0)</f>
        <v>1</v>
      </c>
      <c r="C44" s="75" t="b">
        <v>1</v>
      </c>
      <c r="D44" s="73" t="s">
        <v>253</v>
      </c>
      <c r="E44" s="76" t="s">
        <v>254</v>
      </c>
      <c r="F44" s="76" t="s">
        <v>255</v>
      </c>
      <c r="G44" s="31" t="s">
        <v>53</v>
      </c>
      <c r="H44" s="78">
        <v>39</v>
      </c>
      <c r="I44" s="78">
        <v>470</v>
      </c>
    </row>
    <row r="45" spans="2:9">
      <c r="B45" s="73">
        <f>IF(Provinces[[#This Row],[Active]]=TRUE,1,0)</f>
        <v>1</v>
      </c>
      <c r="C45" s="75" t="b">
        <v>1</v>
      </c>
      <c r="D45" s="73" t="s">
        <v>105</v>
      </c>
      <c r="E45" s="76" t="s">
        <v>103</v>
      </c>
      <c r="F45" s="76" t="s">
        <v>104</v>
      </c>
      <c r="G45" s="31" t="s">
        <v>53</v>
      </c>
      <c r="H45" s="78">
        <v>40</v>
      </c>
      <c r="I45" s="78">
        <v>471</v>
      </c>
    </row>
    <row r="46" spans="2:9">
      <c r="B46" s="73">
        <f>IF(Provinces[[#This Row],[Active]]=TRUE,1,0)</f>
        <v>1</v>
      </c>
      <c r="C46" s="75" t="b">
        <v>1</v>
      </c>
      <c r="D46" s="73" t="s">
        <v>126</v>
      </c>
      <c r="E46" s="76" t="s">
        <v>124</v>
      </c>
      <c r="F46" s="76" t="s">
        <v>125</v>
      </c>
      <c r="G46" s="31" t="s">
        <v>53</v>
      </c>
      <c r="H46" s="78">
        <v>41</v>
      </c>
      <c r="I46" s="78">
        <v>472</v>
      </c>
    </row>
    <row r="47" spans="2:9">
      <c r="B47" s="73">
        <f>IF(Provinces[[#This Row],[Active]]=TRUE,1,0)</f>
        <v>1</v>
      </c>
      <c r="C47" s="75" t="b">
        <v>1</v>
      </c>
      <c r="D47" s="73" t="s">
        <v>256</v>
      </c>
      <c r="E47" s="76" t="s">
        <v>257</v>
      </c>
      <c r="F47" s="76" t="s">
        <v>258</v>
      </c>
      <c r="G47" s="31" t="s">
        <v>53</v>
      </c>
      <c r="H47" s="78">
        <v>42</v>
      </c>
      <c r="I47" s="78">
        <v>473</v>
      </c>
    </row>
    <row r="48" spans="2:9">
      <c r="B48" s="73">
        <f>IF(Provinces[[#This Row],[Active]]=TRUE,1,0)</f>
        <v>1</v>
      </c>
      <c r="C48" s="75" t="b">
        <v>1</v>
      </c>
      <c r="D48" s="73" t="s">
        <v>259</v>
      </c>
      <c r="E48" s="76" t="s">
        <v>260</v>
      </c>
      <c r="F48" s="76" t="s">
        <v>261</v>
      </c>
      <c r="G48" s="31" t="s">
        <v>53</v>
      </c>
      <c r="H48" s="78">
        <v>43</v>
      </c>
      <c r="I48" s="78">
        <v>474</v>
      </c>
    </row>
    <row r="49" spans="2:9">
      <c r="B49" s="73">
        <f>IF(Provinces[[#This Row],[Active]]=TRUE,1,0)</f>
        <v>1</v>
      </c>
      <c r="C49" s="75" t="b">
        <v>1</v>
      </c>
      <c r="D49" s="73" t="s">
        <v>262</v>
      </c>
      <c r="E49" s="76" t="s">
        <v>263</v>
      </c>
      <c r="F49" s="76" t="s">
        <v>264</v>
      </c>
      <c r="G49" s="31" t="s">
        <v>53</v>
      </c>
      <c r="H49" s="78">
        <v>44</v>
      </c>
      <c r="I49" s="78">
        <v>475</v>
      </c>
    </row>
    <row r="50" spans="2:9">
      <c r="B50" s="73">
        <f>IF(Provinces[[#This Row],[Active]]=TRUE,1,0)</f>
        <v>1</v>
      </c>
      <c r="C50" s="75" t="b">
        <v>1</v>
      </c>
      <c r="D50" s="73" t="s">
        <v>265</v>
      </c>
      <c r="E50" s="76" t="s">
        <v>266</v>
      </c>
      <c r="F50" s="76" t="s">
        <v>267</v>
      </c>
      <c r="G50" s="31" t="s">
        <v>53</v>
      </c>
      <c r="H50" s="78">
        <v>45</v>
      </c>
      <c r="I50" s="78">
        <v>476</v>
      </c>
    </row>
    <row r="51" spans="2:9">
      <c r="B51" s="73">
        <f>IF(Provinces[[#This Row],[Active]]=TRUE,1,0)</f>
        <v>1</v>
      </c>
      <c r="C51" s="75" t="b">
        <v>1</v>
      </c>
      <c r="D51" s="73" t="s">
        <v>141</v>
      </c>
      <c r="E51" s="76" t="s">
        <v>139</v>
      </c>
      <c r="F51" s="76" t="s">
        <v>140</v>
      </c>
      <c r="G51" s="31" t="s">
        <v>53</v>
      </c>
      <c r="H51" s="78">
        <v>46</v>
      </c>
      <c r="I51" s="78">
        <v>477</v>
      </c>
    </row>
    <row r="52" spans="2:9">
      <c r="B52" s="73">
        <f>IF(Provinces[[#This Row],[Active]]=TRUE,1,0)</f>
        <v>1</v>
      </c>
      <c r="C52" s="75" t="b">
        <v>1</v>
      </c>
      <c r="D52" s="73" t="s">
        <v>268</v>
      </c>
      <c r="E52" s="76" t="s">
        <v>269</v>
      </c>
      <c r="F52" s="76" t="s">
        <v>270</v>
      </c>
      <c r="G52" s="31" t="s">
        <v>53</v>
      </c>
      <c r="H52" s="78">
        <v>47</v>
      </c>
      <c r="I52" s="78">
        <v>478</v>
      </c>
    </row>
    <row r="53" spans="2:9">
      <c r="B53" s="73">
        <f>IF(Provinces[[#This Row],[Active]]=TRUE,1,0)</f>
        <v>1</v>
      </c>
      <c r="C53" s="75" t="b">
        <v>1</v>
      </c>
      <c r="D53" s="73" t="s">
        <v>99</v>
      </c>
      <c r="E53" s="76" t="s">
        <v>108</v>
      </c>
      <c r="F53" s="76" t="s">
        <v>109</v>
      </c>
      <c r="G53" s="31" t="s">
        <v>53</v>
      </c>
      <c r="H53" s="78">
        <v>48</v>
      </c>
      <c r="I53" s="78">
        <v>479</v>
      </c>
    </row>
    <row r="54" spans="2:9">
      <c r="B54" s="73">
        <f>IF(Provinces[[#This Row],[Active]]=TRUE,1,0)</f>
        <v>1</v>
      </c>
      <c r="C54" s="75" t="b">
        <v>1</v>
      </c>
      <c r="D54" s="73" t="s">
        <v>123</v>
      </c>
      <c r="E54" s="76" t="s">
        <v>121</v>
      </c>
      <c r="F54" s="76" t="s">
        <v>122</v>
      </c>
      <c r="G54" s="31" t="s">
        <v>53</v>
      </c>
      <c r="H54" s="78">
        <v>49</v>
      </c>
      <c r="I54" s="78">
        <v>480</v>
      </c>
    </row>
    <row r="55" spans="2:9">
      <c r="B55" s="73">
        <f>IF(Provinces[[#This Row],[Active]]=TRUE,1,0)</f>
        <v>1</v>
      </c>
      <c r="C55" s="75" t="b">
        <v>1</v>
      </c>
      <c r="D55" s="73" t="s">
        <v>271</v>
      </c>
      <c r="E55" s="76" t="s">
        <v>272</v>
      </c>
      <c r="F55" s="76" t="s">
        <v>273</v>
      </c>
      <c r="G55" s="31" t="s">
        <v>53</v>
      </c>
      <c r="H55" s="78">
        <v>50</v>
      </c>
      <c r="I55" s="78">
        <v>481</v>
      </c>
    </row>
    <row r="56" spans="2:9">
      <c r="B56" s="73">
        <f>IF(Provinces[[#This Row],[Active]]=TRUE,1,0)</f>
        <v>1</v>
      </c>
      <c r="C56" s="75" t="b">
        <v>1</v>
      </c>
      <c r="D56" s="73" t="s">
        <v>274</v>
      </c>
      <c r="E56" s="76" t="s">
        <v>275</v>
      </c>
      <c r="F56" s="76" t="s">
        <v>276</v>
      </c>
      <c r="G56" s="31" t="s">
        <v>53</v>
      </c>
      <c r="H56" s="78">
        <v>51</v>
      </c>
      <c r="I56" s="78">
        <v>482</v>
      </c>
    </row>
    <row r="57" spans="2:9">
      <c r="B57" s="73">
        <f>IF(Provinces[[#This Row],[Active]]=TRUE,1,0)</f>
        <v>1</v>
      </c>
      <c r="C57" s="75" t="b">
        <v>1</v>
      </c>
      <c r="D57" s="73" t="s">
        <v>277</v>
      </c>
      <c r="E57" s="76" t="s">
        <v>278</v>
      </c>
      <c r="F57" s="76" t="s">
        <v>279</v>
      </c>
      <c r="G57" s="31" t="s">
        <v>53</v>
      </c>
      <c r="H57" s="78">
        <v>52</v>
      </c>
      <c r="I57" s="78">
        <v>483</v>
      </c>
    </row>
    <row r="58" spans="2:9">
      <c r="B58" s="73">
        <f>IF(Provinces[[#This Row],[Active]]=TRUE,1,0)</f>
        <v>1</v>
      </c>
      <c r="C58" s="75" t="b">
        <v>1</v>
      </c>
      <c r="D58" s="73" t="s">
        <v>280</v>
      </c>
      <c r="E58" s="76" t="s">
        <v>281</v>
      </c>
      <c r="F58" s="76" t="s">
        <v>282</v>
      </c>
      <c r="G58" s="31" t="s">
        <v>53</v>
      </c>
      <c r="H58" s="78">
        <v>53</v>
      </c>
      <c r="I58" s="78">
        <v>484</v>
      </c>
    </row>
    <row r="59" spans="2:9">
      <c r="B59" s="73">
        <f>IF(Provinces[[#This Row],[Active]]=TRUE,1,0)</f>
        <v>1</v>
      </c>
      <c r="C59" s="75" t="b">
        <v>1</v>
      </c>
      <c r="D59" s="73" t="s">
        <v>283</v>
      </c>
      <c r="E59" s="76" t="s">
        <v>284</v>
      </c>
      <c r="F59" s="76" t="s">
        <v>285</v>
      </c>
      <c r="G59" s="31" t="s">
        <v>53</v>
      </c>
      <c r="H59" s="78">
        <v>54</v>
      </c>
      <c r="I59" s="78">
        <v>485</v>
      </c>
    </row>
    <row r="60" spans="2:9">
      <c r="B60" s="73">
        <f>IF(Provinces[[#This Row],[Active]]=TRUE,1,0)</f>
        <v>1</v>
      </c>
      <c r="C60" s="75" t="b">
        <v>1</v>
      </c>
      <c r="D60" s="73" t="s">
        <v>98</v>
      </c>
      <c r="E60" s="76" t="s">
        <v>106</v>
      </c>
      <c r="F60" s="76" t="s">
        <v>107</v>
      </c>
      <c r="G60" s="31" t="s">
        <v>53</v>
      </c>
      <c r="H60" s="78">
        <v>55</v>
      </c>
      <c r="I60" s="78">
        <v>486</v>
      </c>
    </row>
    <row r="61" spans="2:9">
      <c r="B61" s="73">
        <f>IF(Provinces[[#This Row],[Active]]=TRUE,1,0)</f>
        <v>1</v>
      </c>
      <c r="C61" s="75" t="b">
        <v>1</v>
      </c>
      <c r="D61" s="73" t="s">
        <v>286</v>
      </c>
      <c r="E61" s="76" t="s">
        <v>287</v>
      </c>
      <c r="F61" s="76" t="s">
        <v>288</v>
      </c>
      <c r="G61" s="31" t="s">
        <v>53</v>
      </c>
      <c r="H61" s="78">
        <v>56</v>
      </c>
      <c r="I61" s="78">
        <v>487</v>
      </c>
    </row>
    <row r="62" spans="2:9">
      <c r="B62" s="73">
        <f>IF(Provinces[[#This Row],[Active]]=TRUE,1,0)</f>
        <v>1</v>
      </c>
      <c r="C62" s="75" t="b">
        <v>1</v>
      </c>
      <c r="D62" s="73" t="s">
        <v>289</v>
      </c>
      <c r="E62" s="76" t="s">
        <v>290</v>
      </c>
      <c r="F62" s="76" t="s">
        <v>291</v>
      </c>
      <c r="G62" s="31" t="s">
        <v>53</v>
      </c>
      <c r="H62" s="78">
        <v>57</v>
      </c>
      <c r="I62" s="78">
        <v>488</v>
      </c>
    </row>
    <row r="63" spans="2:9">
      <c r="B63" s="73">
        <f>IF(Provinces[[#This Row],[Active]]=TRUE,1,0)</f>
        <v>1</v>
      </c>
      <c r="C63" s="75" t="b">
        <v>1</v>
      </c>
      <c r="D63" s="73" t="s">
        <v>292</v>
      </c>
      <c r="E63" s="76" t="s">
        <v>293</v>
      </c>
      <c r="F63" s="76" t="s">
        <v>294</v>
      </c>
      <c r="G63" s="31" t="s">
        <v>53</v>
      </c>
      <c r="H63" s="78">
        <v>58</v>
      </c>
      <c r="I63" s="78">
        <v>489</v>
      </c>
    </row>
    <row r="64" spans="2:9">
      <c r="B64" s="73">
        <f>IF(Provinces[[#This Row],[Active]]=TRUE,1,0)</f>
        <v>1</v>
      </c>
      <c r="C64" s="75" t="b">
        <v>1</v>
      </c>
      <c r="D64" s="73" t="s">
        <v>111</v>
      </c>
      <c r="E64" s="76" t="s">
        <v>110</v>
      </c>
      <c r="F64" s="76" t="s">
        <v>199</v>
      </c>
      <c r="G64" s="31" t="s">
        <v>53</v>
      </c>
      <c r="H64" s="78">
        <v>59</v>
      </c>
      <c r="I64" s="78">
        <v>490</v>
      </c>
    </row>
    <row r="65" spans="2:9">
      <c r="B65" s="73">
        <f>IF(Provinces[[#This Row],[Active]]=TRUE,1,0)</f>
        <v>1</v>
      </c>
      <c r="C65" s="75" t="b">
        <v>1</v>
      </c>
      <c r="D65" s="73" t="s">
        <v>295</v>
      </c>
      <c r="E65" s="76" t="s">
        <v>296</v>
      </c>
      <c r="F65" s="76" t="s">
        <v>297</v>
      </c>
      <c r="G65" s="31" t="s">
        <v>53</v>
      </c>
      <c r="H65" s="78">
        <v>60</v>
      </c>
      <c r="I65" s="78">
        <v>491</v>
      </c>
    </row>
    <row r="66" spans="2:9">
      <c r="B66" s="73">
        <f>IF(Provinces[[#This Row],[Active]]=TRUE,1,0)</f>
        <v>1</v>
      </c>
      <c r="C66" s="75" t="b">
        <v>1</v>
      </c>
      <c r="D66" s="73" t="s">
        <v>135</v>
      </c>
      <c r="E66" s="76" t="s">
        <v>133</v>
      </c>
      <c r="F66" s="76" t="s">
        <v>134</v>
      </c>
      <c r="G66" s="31" t="s">
        <v>53</v>
      </c>
      <c r="H66" s="78">
        <v>61</v>
      </c>
      <c r="I66" s="78">
        <v>492</v>
      </c>
    </row>
    <row r="67" spans="2:9">
      <c r="B67" s="73">
        <f>IF(Provinces[[#This Row],[Active]]=TRUE,1,0)</f>
        <v>1</v>
      </c>
      <c r="C67" s="75" t="b">
        <v>1</v>
      </c>
      <c r="D67" s="73" t="s">
        <v>705</v>
      </c>
      <c r="E67" s="76" t="s">
        <v>706</v>
      </c>
      <c r="F67" s="76" t="s">
        <v>707</v>
      </c>
      <c r="G67" s="31" t="s">
        <v>693</v>
      </c>
      <c r="H67" s="78">
        <v>0</v>
      </c>
      <c r="I67" s="78">
        <v>493</v>
      </c>
    </row>
    <row r="68" spans="2:9">
      <c r="B68" s="73">
        <f>IF(Provinces[[#This Row],[Active]]=TRUE,1,0)</f>
        <v>1</v>
      </c>
      <c r="C68" s="75" t="b">
        <v>1</v>
      </c>
      <c r="D68" s="73" t="s">
        <v>708</v>
      </c>
      <c r="E68" s="76" t="s">
        <v>709</v>
      </c>
      <c r="F68" s="76" t="s">
        <v>710</v>
      </c>
      <c r="G68" s="31" t="s">
        <v>693</v>
      </c>
      <c r="H68" s="78">
        <v>0</v>
      </c>
      <c r="I68" s="78">
        <v>494</v>
      </c>
    </row>
    <row r="69" spans="2:9">
      <c r="B69" s="73">
        <f>IF(Provinces[[#This Row],[Active]]=TRUE,1,0)</f>
        <v>1</v>
      </c>
      <c r="C69" s="75" t="b">
        <v>1</v>
      </c>
      <c r="D69" s="73" t="s">
        <v>711</v>
      </c>
      <c r="E69" s="76" t="s">
        <v>712</v>
      </c>
      <c r="F69" s="76" t="s">
        <v>713</v>
      </c>
      <c r="G69" s="31" t="s">
        <v>693</v>
      </c>
      <c r="H69" s="78">
        <v>0</v>
      </c>
      <c r="I69" s="78">
        <v>495</v>
      </c>
    </row>
    <row r="70" spans="2:9">
      <c r="B70" s="73">
        <f>IF(Provinces[[#This Row],[Active]]=TRUE,1,0)</f>
        <v>1</v>
      </c>
      <c r="C70" s="75" t="b">
        <v>1</v>
      </c>
      <c r="D70" s="73" t="s">
        <v>714</v>
      </c>
      <c r="E70" s="76" t="s">
        <v>715</v>
      </c>
      <c r="F70" s="76" t="s">
        <v>716</v>
      </c>
      <c r="G70" s="31" t="s">
        <v>693</v>
      </c>
      <c r="H70" s="78">
        <v>0</v>
      </c>
      <c r="I70" s="78">
        <v>496</v>
      </c>
    </row>
  </sheetData>
  <dataConsolidate/>
  <mergeCells count="1">
    <mergeCell ref="B2:G2"/>
  </mergeCells>
  <conditionalFormatting sqref="B5:I70">
    <cfRule type="expression" dxfId="46" priority="1">
      <formula>$C5 = FALSE</formula>
    </cfRule>
  </conditionalFormatting>
  <conditionalFormatting sqref="C5:C70">
    <cfRule type="containsText" dxfId="45" priority="2" operator="containsText" text="TRUE">
      <formula>NOT(ISERROR(SEARCH("TRUE",C5)))</formula>
    </cfRule>
    <cfRule type="containsText" dxfId="44" priority="3" operator="containsText" text="FALSE">
      <formula>NOT(ISERROR(SEARCH("FALSE",C5)))</formula>
    </cfRule>
  </conditionalFormatting>
  <dataValidations count="2">
    <dataValidation type="list" allowBlank="1" showInputMessage="1" showErrorMessage="1" sqref="C5:C70">
      <formula1>"TRUE, FALSE"</formula1>
    </dataValidation>
    <dataValidation type="list" allowBlank="1" showInputMessage="1" showErrorMessage="1" sqref="G5:G70">
      <formula1>INDIRECT("Countries[Code]")</formula1>
    </dataValidation>
  </dataValidations>
  <pageMargins left="0.7" right="0.7" top="0.75" bottom="0.75" header="0.3" footer="0.3"/>
  <pageSetup scale="8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0"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B5:B70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R109"/>
  <sheetViews>
    <sheetView showGridLines="0" topLeftCell="A2" zoomScaleNormal="100" workbookViewId="0">
      <pane xSplit="1" ySplit="3" topLeftCell="B86" activePane="bottomRight" state="frozen"/>
      <selection activeCell="J37" sqref="J37"/>
      <selection pane="topRight" activeCell="J37" sqref="J37"/>
      <selection pane="bottomLeft" activeCell="J37" sqref="J37"/>
      <selection pane="bottomRight" activeCell="J37" sqref="J37"/>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12.5703125" bestFit="1" customWidth="1"/>
    <col min="8" max="8" width="18.85546875" bestFit="1" customWidth="1"/>
    <col min="9" max="9" width="15" customWidth="1"/>
    <col min="10" max="10" width="22.7109375" bestFit="1" customWidth="1"/>
    <col min="11" max="11" width="10.7109375" bestFit="1" customWidth="1"/>
    <col min="12" max="12" width="7.42578125" hidden="1"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7"/>
      <c r="B2" s="101" t="s">
        <v>94</v>
      </c>
      <c r="C2" s="101"/>
      <c r="D2" s="101"/>
      <c r="E2" s="101"/>
      <c r="F2" s="101"/>
      <c r="G2" s="101"/>
      <c r="H2" s="101"/>
      <c r="I2" s="101"/>
      <c r="J2" s="101"/>
      <c r="K2" s="101"/>
    </row>
    <row r="3" spans="1:18" s="4" customFormat="1" ht="9" customHeight="1" thickTop="1">
      <c r="A3" s="27"/>
      <c r="C3" s="24"/>
      <c r="F3" s="67"/>
    </row>
    <row r="4" spans="1:18" s="13" customFormat="1" ht="15" customHeight="1">
      <c r="A4" s="27"/>
      <c r="B4" s="20" t="s">
        <v>11</v>
      </c>
      <c r="C4" s="19" t="s">
        <v>1</v>
      </c>
      <c r="D4" s="19" t="s">
        <v>0</v>
      </c>
      <c r="E4" s="19" t="s">
        <v>3</v>
      </c>
      <c r="F4" s="26" t="s">
        <v>50</v>
      </c>
      <c r="G4" s="19" t="s">
        <v>41</v>
      </c>
      <c r="H4" s="19" t="s">
        <v>95</v>
      </c>
      <c r="I4" s="19" t="s">
        <v>96</v>
      </c>
      <c r="J4" s="19" t="s">
        <v>97</v>
      </c>
      <c r="K4" s="19" t="s">
        <v>51</v>
      </c>
      <c r="L4" s="19" t="s">
        <v>20</v>
      </c>
    </row>
    <row r="5" spans="1:18">
      <c r="A5" s="28"/>
      <c r="B5" s="56">
        <f>IF(Jurisdictions[[#This Row],[Active]]=TRUE,1,0)</f>
        <v>1</v>
      </c>
      <c r="C5" s="58" t="b">
        <v>1</v>
      </c>
      <c r="D5" s="56" t="s">
        <v>370</v>
      </c>
      <c r="E5" s="54" t="s">
        <v>371</v>
      </c>
      <c r="F5" s="54" t="s">
        <v>372</v>
      </c>
      <c r="G5" s="56" t="s">
        <v>49</v>
      </c>
      <c r="H5" s="56" t="s">
        <v>54</v>
      </c>
      <c r="I5" s="54" t="s">
        <v>373</v>
      </c>
      <c r="J5" s="56" t="s">
        <v>101</v>
      </c>
      <c r="K5" s="64">
        <v>1.1000000000000001</v>
      </c>
      <c r="L5" s="64">
        <v>720</v>
      </c>
    </row>
    <row r="6" spans="1:18">
      <c r="B6" s="73">
        <f>IF(Jurisdictions[[#This Row],[Active]]=TRUE,1,0)</f>
        <v>1</v>
      </c>
      <c r="C6" s="75" t="b">
        <v>1</v>
      </c>
      <c r="D6" s="73" t="s">
        <v>374</v>
      </c>
      <c r="E6" s="76" t="s">
        <v>375</v>
      </c>
      <c r="F6" s="76" t="s">
        <v>376</v>
      </c>
      <c r="G6" s="73" t="s">
        <v>49</v>
      </c>
      <c r="H6" s="73" t="s">
        <v>54</v>
      </c>
      <c r="I6" s="76" t="s">
        <v>373</v>
      </c>
      <c r="J6" s="73" t="s">
        <v>101</v>
      </c>
      <c r="K6" s="78">
        <v>1.9</v>
      </c>
      <c r="L6" s="78">
        <v>721</v>
      </c>
    </row>
    <row r="7" spans="1:18">
      <c r="B7" s="73">
        <f>IF(Jurisdictions[[#This Row],[Active]]=TRUE,1,0)</f>
        <v>1</v>
      </c>
      <c r="C7" s="75" t="b">
        <v>1</v>
      </c>
      <c r="D7" s="73" t="s">
        <v>377</v>
      </c>
      <c r="E7" s="76" t="s">
        <v>378</v>
      </c>
      <c r="F7" s="76" t="s">
        <v>379</v>
      </c>
      <c r="G7" s="73" t="s">
        <v>49</v>
      </c>
      <c r="H7" s="73" t="s">
        <v>54</v>
      </c>
      <c r="I7" s="76" t="s">
        <v>373</v>
      </c>
      <c r="J7" s="73" t="s">
        <v>101</v>
      </c>
      <c r="K7" s="78">
        <v>1.3</v>
      </c>
      <c r="L7" s="78">
        <v>722</v>
      </c>
    </row>
    <row r="8" spans="1:18">
      <c r="B8" s="73">
        <f>IF(Jurisdictions[[#This Row],[Active]]=TRUE,1,0)</f>
        <v>1</v>
      </c>
      <c r="C8" s="75" t="b">
        <v>1</v>
      </c>
      <c r="D8" s="73" t="s">
        <v>380</v>
      </c>
      <c r="E8" s="76" t="s">
        <v>381</v>
      </c>
      <c r="F8" s="76" t="s">
        <v>382</v>
      </c>
      <c r="G8" s="73" t="s">
        <v>49</v>
      </c>
      <c r="H8" s="73" t="s">
        <v>54</v>
      </c>
      <c r="I8" s="76" t="s">
        <v>373</v>
      </c>
      <c r="J8" s="73" t="s">
        <v>101</v>
      </c>
      <c r="K8" s="78">
        <v>1.2</v>
      </c>
      <c r="L8" s="78">
        <v>723</v>
      </c>
    </row>
    <row r="9" spans="1:18">
      <c r="B9" s="73">
        <f>IF(Jurisdictions[[#This Row],[Active]]=TRUE,1,0)</f>
        <v>1</v>
      </c>
      <c r="C9" s="75" t="b">
        <v>1</v>
      </c>
      <c r="D9" s="73" t="s">
        <v>383</v>
      </c>
      <c r="E9" s="76" t="s">
        <v>384</v>
      </c>
      <c r="F9" s="76" t="s">
        <v>385</v>
      </c>
      <c r="G9" s="73" t="s">
        <v>49</v>
      </c>
      <c r="H9" s="73" t="s">
        <v>54</v>
      </c>
      <c r="I9" s="76" t="s">
        <v>373</v>
      </c>
      <c r="J9" s="73" t="s">
        <v>101</v>
      </c>
      <c r="K9" s="78">
        <v>1.5</v>
      </c>
      <c r="L9" s="78">
        <v>724</v>
      </c>
    </row>
    <row r="10" spans="1:18">
      <c r="B10" s="73">
        <f>IF(Jurisdictions[[#This Row],[Active]]=TRUE,1,0)</f>
        <v>1</v>
      </c>
      <c r="C10" s="75" t="b">
        <v>1</v>
      </c>
      <c r="D10" s="73" t="s">
        <v>386</v>
      </c>
      <c r="E10" s="76" t="s">
        <v>387</v>
      </c>
      <c r="F10" s="76" t="s">
        <v>388</v>
      </c>
      <c r="G10" s="73" t="s">
        <v>49</v>
      </c>
      <c r="H10" s="73" t="s">
        <v>54</v>
      </c>
      <c r="I10" s="76" t="s">
        <v>373</v>
      </c>
      <c r="J10" s="73" t="s">
        <v>101</v>
      </c>
      <c r="K10" s="78">
        <v>1.6</v>
      </c>
      <c r="L10" s="78">
        <v>725</v>
      </c>
    </row>
    <row r="11" spans="1:18">
      <c r="B11" s="73">
        <f>IF(Jurisdictions[[#This Row],[Active]]=TRUE,1,0)</f>
        <v>1</v>
      </c>
      <c r="C11" s="75" t="b">
        <v>1</v>
      </c>
      <c r="D11" s="73" t="s">
        <v>389</v>
      </c>
      <c r="E11" s="76" t="s">
        <v>390</v>
      </c>
      <c r="F11" s="76" t="s">
        <v>391</v>
      </c>
      <c r="G11" s="73" t="s">
        <v>49</v>
      </c>
      <c r="H11" s="73" t="s">
        <v>54</v>
      </c>
      <c r="I11" s="76" t="s">
        <v>373</v>
      </c>
      <c r="J11" s="73" t="s">
        <v>101</v>
      </c>
      <c r="K11" s="78">
        <v>1.7</v>
      </c>
      <c r="L11" s="78">
        <v>726</v>
      </c>
    </row>
    <row r="12" spans="1:18">
      <c r="B12" s="73">
        <f>IF(Jurisdictions[[#This Row],[Active]]=TRUE,1,0)</f>
        <v>1</v>
      </c>
      <c r="C12" s="75" t="b">
        <v>1</v>
      </c>
      <c r="D12" s="73" t="s">
        <v>392</v>
      </c>
      <c r="E12" s="76" t="s">
        <v>393</v>
      </c>
      <c r="F12" s="76" t="s">
        <v>394</v>
      </c>
      <c r="G12" s="73" t="s">
        <v>49</v>
      </c>
      <c r="H12" s="73" t="s">
        <v>54</v>
      </c>
      <c r="I12" s="76" t="s">
        <v>373</v>
      </c>
      <c r="J12" s="73" t="s">
        <v>101</v>
      </c>
      <c r="K12" s="78">
        <v>1.1200000000000001</v>
      </c>
      <c r="L12" s="78">
        <v>727</v>
      </c>
    </row>
    <row r="13" spans="1:18">
      <c r="B13" s="73">
        <f>IF(Jurisdictions[[#This Row],[Active]]=TRUE,1,0)</f>
        <v>1</v>
      </c>
      <c r="C13" s="75" t="b">
        <v>1</v>
      </c>
      <c r="D13" s="73" t="s">
        <v>395</v>
      </c>
      <c r="E13" s="76" t="s">
        <v>396</v>
      </c>
      <c r="F13" s="76" t="s">
        <v>397</v>
      </c>
      <c r="G13" s="73" t="s">
        <v>49</v>
      </c>
      <c r="H13" s="73" t="s">
        <v>54</v>
      </c>
      <c r="I13" s="76" t="s">
        <v>373</v>
      </c>
      <c r="J13" s="73" t="s">
        <v>101</v>
      </c>
      <c r="K13" s="78">
        <v>1.4</v>
      </c>
      <c r="L13" s="78">
        <v>728</v>
      </c>
    </row>
    <row r="14" spans="1:18">
      <c r="B14" s="73">
        <f>IF(Jurisdictions[[#This Row],[Active]]=TRUE,1,0)</f>
        <v>1</v>
      </c>
      <c r="C14" s="75" t="b">
        <v>1</v>
      </c>
      <c r="D14" s="73" t="s">
        <v>398</v>
      </c>
      <c r="E14" s="76" t="s">
        <v>399</v>
      </c>
      <c r="F14" s="76" t="s">
        <v>400</v>
      </c>
      <c r="G14" s="73" t="s">
        <v>49</v>
      </c>
      <c r="H14" s="73" t="s">
        <v>54</v>
      </c>
      <c r="I14" s="76" t="s">
        <v>373</v>
      </c>
      <c r="J14" s="73" t="s">
        <v>101</v>
      </c>
      <c r="K14" s="78">
        <v>1.1000000000000001</v>
      </c>
      <c r="L14" s="78">
        <v>729</v>
      </c>
    </row>
    <row r="15" spans="1:18">
      <c r="B15" s="73">
        <f>IF(Jurisdictions[[#This Row],[Active]]=TRUE,1,0)</f>
        <v>1</v>
      </c>
      <c r="C15" s="75" t="b">
        <v>1</v>
      </c>
      <c r="D15" s="73" t="s">
        <v>401</v>
      </c>
      <c r="E15" s="76" t="s">
        <v>402</v>
      </c>
      <c r="F15" s="76" t="s">
        <v>403</v>
      </c>
      <c r="G15" s="73" t="s">
        <v>49</v>
      </c>
      <c r="H15" s="73" t="s">
        <v>54</v>
      </c>
      <c r="I15" s="76" t="s">
        <v>373</v>
      </c>
      <c r="J15" s="73" t="s">
        <v>101</v>
      </c>
      <c r="K15" s="78">
        <v>1.1100000000000001</v>
      </c>
      <c r="L15" s="78">
        <v>730</v>
      </c>
    </row>
    <row r="16" spans="1:18">
      <c r="B16" s="73">
        <f>IF(Jurisdictions[[#This Row],[Active]]=TRUE,1,0)</f>
        <v>1</v>
      </c>
      <c r="C16" s="75" t="b">
        <v>1</v>
      </c>
      <c r="D16" s="73" t="s">
        <v>404</v>
      </c>
      <c r="E16" s="76" t="s">
        <v>405</v>
      </c>
      <c r="F16" s="76" t="s">
        <v>406</v>
      </c>
      <c r="G16" s="73" t="s">
        <v>49</v>
      </c>
      <c r="H16" s="73" t="s">
        <v>54</v>
      </c>
      <c r="I16" s="76" t="s">
        <v>373</v>
      </c>
      <c r="J16" s="73" t="s">
        <v>101</v>
      </c>
      <c r="K16" s="78">
        <v>1.8</v>
      </c>
      <c r="L16" s="78">
        <v>731</v>
      </c>
    </row>
    <row r="17" spans="2:12">
      <c r="B17" s="73">
        <f>IF(Jurisdictions[[#This Row],[Active]]=TRUE,1,0)</f>
        <v>1</v>
      </c>
      <c r="C17" s="75" t="b">
        <v>1</v>
      </c>
      <c r="D17" s="73" t="s">
        <v>407</v>
      </c>
      <c r="E17" s="76" t="s">
        <v>408</v>
      </c>
      <c r="F17" s="76" t="s">
        <v>409</v>
      </c>
      <c r="G17" s="73" t="s">
        <v>49</v>
      </c>
      <c r="H17" s="73" t="s">
        <v>55</v>
      </c>
      <c r="I17" s="76" t="s">
        <v>100</v>
      </c>
      <c r="J17" s="73" t="s">
        <v>49</v>
      </c>
      <c r="K17" s="78">
        <v>2</v>
      </c>
      <c r="L17" s="78">
        <v>732</v>
      </c>
    </row>
    <row r="18" spans="2:12">
      <c r="B18" s="73">
        <f>IF(Jurisdictions[[#This Row],[Active]]=TRUE,1,0)</f>
        <v>1</v>
      </c>
      <c r="C18" s="75" t="b">
        <v>1</v>
      </c>
      <c r="D18" s="73" t="s">
        <v>410</v>
      </c>
      <c r="E18" s="76" t="s">
        <v>411</v>
      </c>
      <c r="F18" s="76" t="s">
        <v>412</v>
      </c>
      <c r="G18" s="73" t="s">
        <v>49</v>
      </c>
      <c r="H18" s="73" t="s">
        <v>55</v>
      </c>
      <c r="I18" s="76" t="s">
        <v>373</v>
      </c>
      <c r="J18" s="73" t="s">
        <v>407</v>
      </c>
      <c r="K18" s="78">
        <v>2.2000000000000002</v>
      </c>
      <c r="L18" s="78">
        <v>733</v>
      </c>
    </row>
    <row r="19" spans="2:12">
      <c r="B19" s="73">
        <f>IF(Jurisdictions[[#This Row],[Active]]=TRUE,1,0)</f>
        <v>1</v>
      </c>
      <c r="C19" s="75" t="b">
        <v>1</v>
      </c>
      <c r="D19" s="73" t="s">
        <v>413</v>
      </c>
      <c r="E19" s="76" t="s">
        <v>414</v>
      </c>
      <c r="F19" s="76" t="s">
        <v>415</v>
      </c>
      <c r="G19" s="73" t="s">
        <v>49</v>
      </c>
      <c r="H19" s="73" t="s">
        <v>55</v>
      </c>
      <c r="I19" s="76" t="s">
        <v>373</v>
      </c>
      <c r="J19" s="73" t="s">
        <v>407</v>
      </c>
      <c r="K19" s="78">
        <v>2.1</v>
      </c>
      <c r="L19" s="78">
        <v>734</v>
      </c>
    </row>
    <row r="20" spans="2:12">
      <c r="B20" s="73">
        <f>IF(Jurisdictions[[#This Row],[Active]]=TRUE,1,0)</f>
        <v>1</v>
      </c>
      <c r="C20" s="75" t="b">
        <v>1</v>
      </c>
      <c r="D20" s="73" t="s">
        <v>416</v>
      </c>
      <c r="E20" s="76" t="s">
        <v>118</v>
      </c>
      <c r="F20" s="76" t="s">
        <v>119</v>
      </c>
      <c r="G20" s="73" t="s">
        <v>53</v>
      </c>
      <c r="H20" s="73" t="s">
        <v>120</v>
      </c>
      <c r="I20" s="76" t="s">
        <v>417</v>
      </c>
      <c r="J20" s="73" t="s">
        <v>53</v>
      </c>
      <c r="K20" s="78">
        <v>8</v>
      </c>
      <c r="L20" s="78">
        <v>735</v>
      </c>
    </row>
    <row r="21" spans="2:12">
      <c r="B21" s="73">
        <f>IF(Jurisdictions[[#This Row],[Active]]=TRUE,1,0)</f>
        <v>1</v>
      </c>
      <c r="C21" s="75" t="b">
        <v>1</v>
      </c>
      <c r="D21" s="73" t="s">
        <v>418</v>
      </c>
      <c r="E21" s="76" t="s">
        <v>419</v>
      </c>
      <c r="F21" s="76" t="s">
        <v>420</v>
      </c>
      <c r="G21" s="73" t="s">
        <v>53</v>
      </c>
      <c r="H21" s="73" t="s">
        <v>120</v>
      </c>
      <c r="I21" s="76" t="s">
        <v>373</v>
      </c>
      <c r="J21" s="73" t="s">
        <v>416</v>
      </c>
      <c r="K21" s="78">
        <v>8.1</v>
      </c>
      <c r="L21" s="78">
        <v>736</v>
      </c>
    </row>
    <row r="22" spans="2:12">
      <c r="B22" s="73">
        <f>IF(Jurisdictions[[#This Row],[Active]]=TRUE,1,0)</f>
        <v>1</v>
      </c>
      <c r="C22" s="75" t="b">
        <v>1</v>
      </c>
      <c r="D22" s="73" t="s">
        <v>421</v>
      </c>
      <c r="E22" s="76" t="s">
        <v>422</v>
      </c>
      <c r="F22" s="76" t="s">
        <v>423</v>
      </c>
      <c r="G22" s="73" t="s">
        <v>53</v>
      </c>
      <c r="H22" s="73" t="s">
        <v>132</v>
      </c>
      <c r="I22" s="76" t="s">
        <v>373</v>
      </c>
      <c r="J22" s="73" t="s">
        <v>424</v>
      </c>
      <c r="K22" s="78">
        <v>9.1999999999999993</v>
      </c>
      <c r="L22" s="78">
        <v>737</v>
      </c>
    </row>
    <row r="23" spans="2:12">
      <c r="B23" s="73">
        <f>IF(Jurisdictions[[#This Row],[Active]]=TRUE,1,0)</f>
        <v>1</v>
      </c>
      <c r="C23" s="75" t="b">
        <v>1</v>
      </c>
      <c r="D23" s="73" t="s">
        <v>424</v>
      </c>
      <c r="E23" s="76" t="s">
        <v>130</v>
      </c>
      <c r="F23" s="76" t="s">
        <v>131</v>
      </c>
      <c r="G23" s="73" t="s">
        <v>53</v>
      </c>
      <c r="H23" s="73" t="s">
        <v>132</v>
      </c>
      <c r="I23" s="76" t="s">
        <v>417</v>
      </c>
      <c r="J23" s="73" t="s">
        <v>53</v>
      </c>
      <c r="K23" s="78">
        <v>9</v>
      </c>
      <c r="L23" s="78">
        <v>738</v>
      </c>
    </row>
    <row r="24" spans="2:12">
      <c r="B24" s="73">
        <f>IF(Jurisdictions[[#This Row],[Active]]=TRUE,1,0)</f>
        <v>1</v>
      </c>
      <c r="C24" s="75" t="b">
        <v>1</v>
      </c>
      <c r="D24" s="73" t="s">
        <v>425</v>
      </c>
      <c r="E24" s="76" t="s">
        <v>426</v>
      </c>
      <c r="F24" s="76" t="s">
        <v>427</v>
      </c>
      <c r="G24" s="73" t="s">
        <v>53</v>
      </c>
      <c r="H24" s="73" t="s">
        <v>132</v>
      </c>
      <c r="I24" s="76" t="s">
        <v>373</v>
      </c>
      <c r="J24" s="73" t="s">
        <v>424</v>
      </c>
      <c r="K24" s="78">
        <v>9.4</v>
      </c>
      <c r="L24" s="78">
        <v>739</v>
      </c>
    </row>
    <row r="25" spans="2:12">
      <c r="B25" s="73">
        <f>IF(Jurisdictions[[#This Row],[Active]]=TRUE,1,0)</f>
        <v>1</v>
      </c>
      <c r="C25" s="75" t="b">
        <v>1</v>
      </c>
      <c r="D25" s="73" t="s">
        <v>428</v>
      </c>
      <c r="E25" s="76" t="s">
        <v>429</v>
      </c>
      <c r="F25" s="76" t="s">
        <v>430</v>
      </c>
      <c r="G25" s="73" t="s">
        <v>53</v>
      </c>
      <c r="H25" s="73" t="s">
        <v>132</v>
      </c>
      <c r="I25" s="76" t="s">
        <v>373</v>
      </c>
      <c r="J25" s="73" t="s">
        <v>424</v>
      </c>
      <c r="K25" s="78">
        <v>9.1</v>
      </c>
      <c r="L25" s="78">
        <v>740</v>
      </c>
    </row>
    <row r="26" spans="2:12">
      <c r="B26" s="73">
        <f>IF(Jurisdictions[[#This Row],[Active]]=TRUE,1,0)</f>
        <v>1</v>
      </c>
      <c r="C26" s="75" t="b">
        <v>1</v>
      </c>
      <c r="D26" s="73" t="s">
        <v>431</v>
      </c>
      <c r="E26" s="76" t="s">
        <v>432</v>
      </c>
      <c r="F26" s="76" t="s">
        <v>433</v>
      </c>
      <c r="G26" s="73" t="s">
        <v>53</v>
      </c>
      <c r="H26" s="73" t="s">
        <v>132</v>
      </c>
      <c r="I26" s="76" t="s">
        <v>373</v>
      </c>
      <c r="J26" s="73" t="s">
        <v>424</v>
      </c>
      <c r="K26" s="78">
        <v>9.3000000000000007</v>
      </c>
      <c r="L26" s="78">
        <v>741</v>
      </c>
    </row>
    <row r="27" spans="2:12">
      <c r="B27" s="73">
        <f>IF(Jurisdictions[[#This Row],[Active]]=TRUE,1,0)</f>
        <v>1</v>
      </c>
      <c r="C27" s="75" t="b">
        <v>1</v>
      </c>
      <c r="D27" s="73" t="s">
        <v>434</v>
      </c>
      <c r="E27" s="76" t="s">
        <v>435</v>
      </c>
      <c r="F27" s="76" t="s">
        <v>436</v>
      </c>
      <c r="G27" s="73" t="s">
        <v>53</v>
      </c>
      <c r="H27" s="73" t="s">
        <v>129</v>
      </c>
      <c r="I27" s="76" t="s">
        <v>373</v>
      </c>
      <c r="J27" s="73" t="s">
        <v>437</v>
      </c>
      <c r="K27" s="78">
        <v>10.3</v>
      </c>
      <c r="L27" s="78">
        <v>742</v>
      </c>
    </row>
    <row r="28" spans="2:12">
      <c r="B28" s="73">
        <f>IF(Jurisdictions[[#This Row],[Active]]=TRUE,1,0)</f>
        <v>1</v>
      </c>
      <c r="C28" s="75" t="b">
        <v>1</v>
      </c>
      <c r="D28" s="73" t="s">
        <v>438</v>
      </c>
      <c r="E28" s="76" t="s">
        <v>439</v>
      </c>
      <c r="F28" s="76" t="s">
        <v>440</v>
      </c>
      <c r="G28" s="73" t="s">
        <v>53</v>
      </c>
      <c r="H28" s="73" t="s">
        <v>129</v>
      </c>
      <c r="I28" s="76" t="s">
        <v>373</v>
      </c>
      <c r="J28" s="73" t="s">
        <v>437</v>
      </c>
      <c r="K28" s="78">
        <v>10.1</v>
      </c>
      <c r="L28" s="78">
        <v>743</v>
      </c>
    </row>
    <row r="29" spans="2:12">
      <c r="B29" s="73">
        <f>IF(Jurisdictions[[#This Row],[Active]]=TRUE,1,0)</f>
        <v>1</v>
      </c>
      <c r="C29" s="75" t="b">
        <v>1</v>
      </c>
      <c r="D29" s="73" t="s">
        <v>437</v>
      </c>
      <c r="E29" s="76" t="s">
        <v>127</v>
      </c>
      <c r="F29" s="76" t="s">
        <v>128</v>
      </c>
      <c r="G29" s="73" t="s">
        <v>53</v>
      </c>
      <c r="H29" s="73" t="s">
        <v>129</v>
      </c>
      <c r="I29" s="76" t="s">
        <v>417</v>
      </c>
      <c r="J29" s="73" t="s">
        <v>53</v>
      </c>
      <c r="K29" s="78">
        <v>10</v>
      </c>
      <c r="L29" s="78">
        <v>744</v>
      </c>
    </row>
    <row r="30" spans="2:12">
      <c r="B30" s="73">
        <f>IF(Jurisdictions[[#This Row],[Active]]=TRUE,1,0)</f>
        <v>1</v>
      </c>
      <c r="C30" s="75" t="b">
        <v>1</v>
      </c>
      <c r="D30" s="73" t="s">
        <v>441</v>
      </c>
      <c r="E30" s="76" t="s">
        <v>442</v>
      </c>
      <c r="F30" s="76" t="s">
        <v>443</v>
      </c>
      <c r="G30" s="73" t="s">
        <v>53</v>
      </c>
      <c r="H30" s="73" t="s">
        <v>129</v>
      </c>
      <c r="I30" s="76" t="s">
        <v>373</v>
      </c>
      <c r="J30" s="73" t="s">
        <v>437</v>
      </c>
      <c r="K30" s="78">
        <v>10.199999999999999</v>
      </c>
      <c r="L30" s="78">
        <v>745</v>
      </c>
    </row>
    <row r="31" spans="2:12">
      <c r="B31" s="73">
        <f>IF(Jurisdictions[[#This Row],[Active]]=TRUE,1,0)</f>
        <v>1</v>
      </c>
      <c r="C31" s="75" t="b">
        <v>1</v>
      </c>
      <c r="D31" s="73" t="s">
        <v>444</v>
      </c>
      <c r="E31" s="76" t="s">
        <v>445</v>
      </c>
      <c r="F31" s="76" t="s">
        <v>446</v>
      </c>
      <c r="G31" s="73" t="s">
        <v>49</v>
      </c>
      <c r="H31" s="73" t="s">
        <v>61</v>
      </c>
      <c r="I31" s="76" t="s">
        <v>373</v>
      </c>
      <c r="J31" s="73" t="s">
        <v>447</v>
      </c>
      <c r="K31" s="78">
        <v>3.1</v>
      </c>
      <c r="L31" s="78">
        <v>746</v>
      </c>
    </row>
    <row r="32" spans="2:12">
      <c r="B32" s="73">
        <f>IF(Jurisdictions[[#This Row],[Active]]=TRUE,1,0)</f>
        <v>1</v>
      </c>
      <c r="C32" s="75" t="b">
        <v>1</v>
      </c>
      <c r="D32" s="73" t="s">
        <v>448</v>
      </c>
      <c r="E32" s="76" t="s">
        <v>449</v>
      </c>
      <c r="F32" s="76" t="s">
        <v>450</v>
      </c>
      <c r="G32" s="73" t="s">
        <v>49</v>
      </c>
      <c r="H32" s="73" t="s">
        <v>61</v>
      </c>
      <c r="I32" s="76" t="s">
        <v>373</v>
      </c>
      <c r="J32" s="73" t="s">
        <v>447</v>
      </c>
      <c r="K32" s="78">
        <v>3.2</v>
      </c>
      <c r="L32" s="78">
        <v>747</v>
      </c>
    </row>
    <row r="33" spans="2:12">
      <c r="B33" s="73">
        <f>IF(Jurisdictions[[#This Row],[Active]]=TRUE,1,0)</f>
        <v>1</v>
      </c>
      <c r="C33" s="75" t="b">
        <v>1</v>
      </c>
      <c r="D33" s="73" t="s">
        <v>447</v>
      </c>
      <c r="E33" s="76" t="s">
        <v>451</v>
      </c>
      <c r="F33" s="76" t="s">
        <v>452</v>
      </c>
      <c r="G33" s="73" t="s">
        <v>49</v>
      </c>
      <c r="H33" s="73" t="s">
        <v>61</v>
      </c>
      <c r="I33" s="76" t="s">
        <v>100</v>
      </c>
      <c r="J33" s="73" t="s">
        <v>49</v>
      </c>
      <c r="K33" s="78">
        <v>3</v>
      </c>
      <c r="L33" s="78">
        <v>748</v>
      </c>
    </row>
    <row r="34" spans="2:12">
      <c r="B34" s="73">
        <f>IF(Jurisdictions[[#This Row],[Active]]=TRUE,1,0)</f>
        <v>1</v>
      </c>
      <c r="C34" s="75" t="b">
        <v>1</v>
      </c>
      <c r="D34" s="73" t="s">
        <v>453</v>
      </c>
      <c r="E34" s="76" t="s">
        <v>196</v>
      </c>
      <c r="F34" s="76" t="s">
        <v>197</v>
      </c>
      <c r="G34" s="73" t="s">
        <v>53</v>
      </c>
      <c r="H34" s="73" t="s">
        <v>203</v>
      </c>
      <c r="I34" s="76" t="s">
        <v>417</v>
      </c>
      <c r="J34" s="73" t="s">
        <v>53</v>
      </c>
      <c r="K34" s="78">
        <v>11</v>
      </c>
      <c r="L34" s="78">
        <v>749</v>
      </c>
    </row>
    <row r="35" spans="2:12">
      <c r="B35" s="73">
        <f>IF(Jurisdictions[[#This Row],[Active]]=TRUE,1,0)</f>
        <v>1</v>
      </c>
      <c r="C35" s="75" t="b">
        <v>1</v>
      </c>
      <c r="D35" s="73" t="s">
        <v>454</v>
      </c>
      <c r="E35" s="76" t="s">
        <v>455</v>
      </c>
      <c r="F35" s="76" t="s">
        <v>456</v>
      </c>
      <c r="G35" s="73" t="s">
        <v>53</v>
      </c>
      <c r="H35" s="73" t="s">
        <v>203</v>
      </c>
      <c r="I35" s="76" t="s">
        <v>373</v>
      </c>
      <c r="J35" s="73" t="s">
        <v>453</v>
      </c>
      <c r="K35" s="78">
        <v>11.1</v>
      </c>
      <c r="L35" s="78">
        <v>750</v>
      </c>
    </row>
    <row r="36" spans="2:12">
      <c r="B36" s="73">
        <f>IF(Jurisdictions[[#This Row],[Active]]=TRUE,1,0)</f>
        <v>1</v>
      </c>
      <c r="C36" s="75" t="b">
        <v>1</v>
      </c>
      <c r="D36" s="73" t="s">
        <v>457</v>
      </c>
      <c r="E36" s="76" t="s">
        <v>112</v>
      </c>
      <c r="F36" s="76" t="s">
        <v>458</v>
      </c>
      <c r="G36" s="73" t="s">
        <v>53</v>
      </c>
      <c r="H36" s="73" t="s">
        <v>114</v>
      </c>
      <c r="I36" s="76" t="s">
        <v>417</v>
      </c>
      <c r="J36" s="73" t="s">
        <v>53</v>
      </c>
      <c r="K36" s="78">
        <v>12</v>
      </c>
      <c r="L36" s="78">
        <v>751</v>
      </c>
    </row>
    <row r="37" spans="2:12">
      <c r="B37" s="73">
        <f>IF(Jurisdictions[[#This Row],[Active]]=TRUE,1,0)</f>
        <v>1</v>
      </c>
      <c r="C37" s="75" t="b">
        <v>1</v>
      </c>
      <c r="D37" s="73" t="s">
        <v>459</v>
      </c>
      <c r="E37" s="76" t="s">
        <v>460</v>
      </c>
      <c r="F37" s="76" t="s">
        <v>461</v>
      </c>
      <c r="G37" s="73" t="s">
        <v>53</v>
      </c>
      <c r="H37" s="73" t="s">
        <v>114</v>
      </c>
      <c r="I37" s="76" t="s">
        <v>373</v>
      </c>
      <c r="J37" s="73" t="s">
        <v>457</v>
      </c>
      <c r="K37" s="78">
        <v>12.1</v>
      </c>
      <c r="L37" s="78">
        <v>752</v>
      </c>
    </row>
    <row r="38" spans="2:12">
      <c r="B38" s="73">
        <f>IF(Jurisdictions[[#This Row],[Active]]=TRUE,1,0)</f>
        <v>1</v>
      </c>
      <c r="C38" s="75" t="b">
        <v>1</v>
      </c>
      <c r="D38" s="73" t="s">
        <v>462</v>
      </c>
      <c r="E38" s="76" t="s">
        <v>463</v>
      </c>
      <c r="F38" s="76" t="s">
        <v>464</v>
      </c>
      <c r="G38" s="73" t="s">
        <v>53</v>
      </c>
      <c r="H38" s="73" t="s">
        <v>195</v>
      </c>
      <c r="I38" s="76" t="s">
        <v>373</v>
      </c>
      <c r="J38" s="73" t="s">
        <v>465</v>
      </c>
      <c r="K38" s="78">
        <v>13.1</v>
      </c>
      <c r="L38" s="78">
        <v>753</v>
      </c>
    </row>
    <row r="39" spans="2:12">
      <c r="B39" s="73">
        <f>IF(Jurisdictions[[#This Row],[Active]]=TRUE,1,0)</f>
        <v>1</v>
      </c>
      <c r="C39" s="75" t="b">
        <v>1</v>
      </c>
      <c r="D39" s="73" t="s">
        <v>465</v>
      </c>
      <c r="E39" s="76" t="s">
        <v>193</v>
      </c>
      <c r="F39" s="76" t="s">
        <v>194</v>
      </c>
      <c r="G39" s="73" t="s">
        <v>53</v>
      </c>
      <c r="H39" s="73" t="s">
        <v>195</v>
      </c>
      <c r="I39" s="76" t="s">
        <v>417</v>
      </c>
      <c r="J39" s="73" t="s">
        <v>53</v>
      </c>
      <c r="K39" s="78">
        <v>13</v>
      </c>
      <c r="L39" s="78">
        <v>754</v>
      </c>
    </row>
    <row r="40" spans="2:12">
      <c r="B40" s="73">
        <f>IF(Jurisdictions[[#This Row],[Active]]=TRUE,1,0)</f>
        <v>1</v>
      </c>
      <c r="C40" s="75" t="b">
        <v>1</v>
      </c>
      <c r="D40" s="73" t="s">
        <v>466</v>
      </c>
      <c r="E40" s="76" t="s">
        <v>115</v>
      </c>
      <c r="F40" s="76" t="s">
        <v>116</v>
      </c>
      <c r="G40" s="73" t="s">
        <v>53</v>
      </c>
      <c r="H40" s="73" t="s">
        <v>117</v>
      </c>
      <c r="I40" s="76" t="s">
        <v>417</v>
      </c>
      <c r="J40" s="73" t="s">
        <v>53</v>
      </c>
      <c r="K40" s="78">
        <v>14</v>
      </c>
      <c r="L40" s="78">
        <v>755</v>
      </c>
    </row>
    <row r="41" spans="2:12">
      <c r="B41" s="73">
        <f>IF(Jurisdictions[[#This Row],[Active]]=TRUE,1,0)</f>
        <v>1</v>
      </c>
      <c r="C41" s="75" t="b">
        <v>1</v>
      </c>
      <c r="D41" s="73" t="s">
        <v>467</v>
      </c>
      <c r="E41" s="76" t="s">
        <v>468</v>
      </c>
      <c r="F41" s="76" t="s">
        <v>469</v>
      </c>
      <c r="G41" s="73" t="s">
        <v>53</v>
      </c>
      <c r="H41" s="73" t="s">
        <v>117</v>
      </c>
      <c r="I41" s="76" t="s">
        <v>373</v>
      </c>
      <c r="J41" s="73" t="s">
        <v>466</v>
      </c>
      <c r="K41" s="78">
        <v>14.1</v>
      </c>
      <c r="L41" s="78">
        <v>756</v>
      </c>
    </row>
    <row r="42" spans="2:12">
      <c r="B42" s="73">
        <f>IF(Jurisdictions[[#This Row],[Active]]=TRUE,1,0)</f>
        <v>1</v>
      </c>
      <c r="C42" s="75" t="b">
        <v>1</v>
      </c>
      <c r="D42" s="73" t="s">
        <v>470</v>
      </c>
      <c r="E42" s="76" t="s">
        <v>471</v>
      </c>
      <c r="F42" s="76" t="s">
        <v>472</v>
      </c>
      <c r="G42" s="73" t="s">
        <v>53</v>
      </c>
      <c r="H42" s="73" t="s">
        <v>138</v>
      </c>
      <c r="I42" s="76" t="s">
        <v>373</v>
      </c>
      <c r="J42" s="73" t="s">
        <v>473</v>
      </c>
      <c r="K42" s="78">
        <v>15.1</v>
      </c>
      <c r="L42" s="78">
        <v>757</v>
      </c>
    </row>
    <row r="43" spans="2:12">
      <c r="B43" s="73">
        <f>IF(Jurisdictions[[#This Row],[Active]]=TRUE,1,0)</f>
        <v>1</v>
      </c>
      <c r="C43" s="75" t="b">
        <v>1</v>
      </c>
      <c r="D43" s="73" t="s">
        <v>473</v>
      </c>
      <c r="E43" s="76" t="s">
        <v>136</v>
      </c>
      <c r="F43" s="76" t="s">
        <v>137</v>
      </c>
      <c r="G43" s="73" t="s">
        <v>53</v>
      </c>
      <c r="H43" s="73" t="s">
        <v>138</v>
      </c>
      <c r="I43" s="76" t="s">
        <v>417</v>
      </c>
      <c r="J43" s="73" t="s">
        <v>53</v>
      </c>
      <c r="K43" s="78">
        <v>15</v>
      </c>
      <c r="L43" s="78">
        <v>758</v>
      </c>
    </row>
    <row r="44" spans="2:12">
      <c r="B44" s="73">
        <f>IF(Jurisdictions[[#This Row],[Active]]=TRUE,1,0)</f>
        <v>1</v>
      </c>
      <c r="C44" s="75" t="b">
        <v>1</v>
      </c>
      <c r="D44" s="73" t="s">
        <v>474</v>
      </c>
      <c r="E44" s="76" t="s">
        <v>475</v>
      </c>
      <c r="F44" s="76" t="s">
        <v>476</v>
      </c>
      <c r="G44" s="73" t="s">
        <v>53</v>
      </c>
      <c r="H44" s="73" t="s">
        <v>138</v>
      </c>
      <c r="I44" s="76" t="s">
        <v>373</v>
      </c>
      <c r="J44" s="73" t="s">
        <v>473</v>
      </c>
      <c r="K44" s="78">
        <v>15.2</v>
      </c>
      <c r="L44" s="78">
        <v>759</v>
      </c>
    </row>
    <row r="45" spans="2:12">
      <c r="B45" s="73">
        <f>IF(Jurisdictions[[#This Row],[Active]]=TRUE,1,0)</f>
        <v>1</v>
      </c>
      <c r="C45" s="75" t="b">
        <v>1</v>
      </c>
      <c r="D45" s="73" t="s">
        <v>477</v>
      </c>
      <c r="E45" s="76" t="s">
        <v>478</v>
      </c>
      <c r="F45" s="76" t="s">
        <v>479</v>
      </c>
      <c r="G45" s="73" t="s">
        <v>53</v>
      </c>
      <c r="H45" s="73" t="s">
        <v>141</v>
      </c>
      <c r="I45" s="76" t="s">
        <v>373</v>
      </c>
      <c r="J45" s="73" t="s">
        <v>480</v>
      </c>
      <c r="K45" s="78">
        <v>16.2</v>
      </c>
      <c r="L45" s="78">
        <v>760</v>
      </c>
    </row>
    <row r="46" spans="2:12">
      <c r="B46" s="73">
        <f>IF(Jurisdictions[[#This Row],[Active]]=TRUE,1,0)</f>
        <v>1</v>
      </c>
      <c r="C46" s="75" t="b">
        <v>1</v>
      </c>
      <c r="D46" s="73" t="s">
        <v>481</v>
      </c>
      <c r="E46" s="76" t="s">
        <v>482</v>
      </c>
      <c r="F46" s="76" t="s">
        <v>483</v>
      </c>
      <c r="G46" s="73" t="s">
        <v>53</v>
      </c>
      <c r="H46" s="73" t="s">
        <v>141</v>
      </c>
      <c r="I46" s="76" t="s">
        <v>373</v>
      </c>
      <c r="J46" s="73" t="s">
        <v>480</v>
      </c>
      <c r="K46" s="78">
        <v>16.100000000000001</v>
      </c>
      <c r="L46" s="78">
        <v>761</v>
      </c>
    </row>
    <row r="47" spans="2:12">
      <c r="B47" s="73">
        <f>IF(Jurisdictions[[#This Row],[Active]]=TRUE,1,0)</f>
        <v>1</v>
      </c>
      <c r="C47" s="75" t="b">
        <v>1</v>
      </c>
      <c r="D47" s="73" t="s">
        <v>484</v>
      </c>
      <c r="E47" s="76" t="s">
        <v>485</v>
      </c>
      <c r="F47" s="76" t="s">
        <v>486</v>
      </c>
      <c r="G47" s="73" t="s">
        <v>53</v>
      </c>
      <c r="H47" s="73" t="s">
        <v>141</v>
      </c>
      <c r="I47" s="76" t="s">
        <v>373</v>
      </c>
      <c r="J47" s="73" t="s">
        <v>480</v>
      </c>
      <c r="K47" s="78">
        <v>16.3</v>
      </c>
      <c r="L47" s="78">
        <v>762</v>
      </c>
    </row>
    <row r="48" spans="2:12">
      <c r="B48" s="73">
        <f>IF(Jurisdictions[[#This Row],[Active]]=TRUE,1,0)</f>
        <v>1</v>
      </c>
      <c r="C48" s="75" t="b">
        <v>1</v>
      </c>
      <c r="D48" s="73" t="s">
        <v>480</v>
      </c>
      <c r="E48" s="76" t="s">
        <v>139</v>
      </c>
      <c r="F48" s="76" t="s">
        <v>140</v>
      </c>
      <c r="G48" s="73" t="s">
        <v>53</v>
      </c>
      <c r="H48" s="73" t="s">
        <v>141</v>
      </c>
      <c r="I48" s="76" t="s">
        <v>417</v>
      </c>
      <c r="J48" s="73" t="s">
        <v>53</v>
      </c>
      <c r="K48" s="78">
        <v>16</v>
      </c>
      <c r="L48" s="78">
        <v>763</v>
      </c>
    </row>
    <row r="49" spans="2:12">
      <c r="B49" s="73">
        <f>IF(Jurisdictions[[#This Row],[Active]]=TRUE,1,0)</f>
        <v>1</v>
      </c>
      <c r="C49" s="75" t="b">
        <v>1</v>
      </c>
      <c r="D49" s="73" t="s">
        <v>487</v>
      </c>
      <c r="E49" s="76" t="s">
        <v>124</v>
      </c>
      <c r="F49" s="76" t="s">
        <v>125</v>
      </c>
      <c r="G49" s="73" t="s">
        <v>53</v>
      </c>
      <c r="H49" s="73" t="s">
        <v>126</v>
      </c>
      <c r="I49" s="76" t="s">
        <v>417</v>
      </c>
      <c r="J49" s="73" t="s">
        <v>53</v>
      </c>
      <c r="K49" s="78">
        <v>17</v>
      </c>
      <c r="L49" s="78">
        <v>764</v>
      </c>
    </row>
    <row r="50" spans="2:12">
      <c r="B50" s="73">
        <f>IF(Jurisdictions[[#This Row],[Active]]=TRUE,1,0)</f>
        <v>1</v>
      </c>
      <c r="C50" s="75" t="b">
        <v>1</v>
      </c>
      <c r="D50" s="73" t="s">
        <v>488</v>
      </c>
      <c r="E50" s="76" t="s">
        <v>489</v>
      </c>
      <c r="F50" s="76" t="s">
        <v>490</v>
      </c>
      <c r="G50" s="73" t="s">
        <v>53</v>
      </c>
      <c r="H50" s="73" t="s">
        <v>126</v>
      </c>
      <c r="I50" s="76" t="s">
        <v>373</v>
      </c>
      <c r="J50" s="73" t="s">
        <v>487</v>
      </c>
      <c r="K50" s="78">
        <v>17.100000000000001</v>
      </c>
      <c r="L50" s="78">
        <v>765</v>
      </c>
    </row>
    <row r="51" spans="2:12">
      <c r="B51" s="73">
        <f>IF(Jurisdictions[[#This Row],[Active]]=TRUE,1,0)</f>
        <v>1</v>
      </c>
      <c r="C51" s="75" t="b">
        <v>1</v>
      </c>
      <c r="D51" s="73" t="s">
        <v>491</v>
      </c>
      <c r="E51" s="76" t="s">
        <v>492</v>
      </c>
      <c r="F51" s="76" t="s">
        <v>493</v>
      </c>
      <c r="G51" s="73" t="s">
        <v>49</v>
      </c>
      <c r="H51" s="73" t="s">
        <v>73</v>
      </c>
      <c r="I51" s="76" t="s">
        <v>373</v>
      </c>
      <c r="J51" s="73" t="s">
        <v>494</v>
      </c>
      <c r="K51" s="78">
        <v>5.0999999999999996</v>
      </c>
      <c r="L51" s="78">
        <v>766</v>
      </c>
    </row>
    <row r="52" spans="2:12">
      <c r="B52" s="73">
        <f>IF(Jurisdictions[[#This Row],[Active]]=TRUE,1,0)</f>
        <v>1</v>
      </c>
      <c r="C52" s="75" t="b">
        <v>1</v>
      </c>
      <c r="D52" s="73" t="s">
        <v>494</v>
      </c>
      <c r="E52" s="76" t="s">
        <v>495</v>
      </c>
      <c r="F52" s="76" t="s">
        <v>496</v>
      </c>
      <c r="G52" s="73" t="s">
        <v>49</v>
      </c>
      <c r="H52" s="73" t="s">
        <v>73</v>
      </c>
      <c r="I52" s="76" t="s">
        <v>100</v>
      </c>
      <c r="J52" s="73" t="s">
        <v>49</v>
      </c>
      <c r="K52" s="78">
        <v>5</v>
      </c>
      <c r="L52" s="78">
        <v>767</v>
      </c>
    </row>
    <row r="53" spans="2:12">
      <c r="B53" s="73">
        <f>IF(Jurisdictions[[#This Row],[Active]]=TRUE,1,0)</f>
        <v>1</v>
      </c>
      <c r="C53" s="75" t="b">
        <v>1</v>
      </c>
      <c r="D53" s="73" t="s">
        <v>497</v>
      </c>
      <c r="E53" s="76" t="s">
        <v>498</v>
      </c>
      <c r="F53" s="76" t="s">
        <v>499</v>
      </c>
      <c r="G53" s="73" t="s">
        <v>53</v>
      </c>
      <c r="H53" s="73" t="s">
        <v>105</v>
      </c>
      <c r="I53" s="76" t="s">
        <v>373</v>
      </c>
      <c r="J53" s="73" t="s">
        <v>500</v>
      </c>
      <c r="K53" s="78">
        <v>18.100000000000001</v>
      </c>
      <c r="L53" s="78">
        <v>768</v>
      </c>
    </row>
    <row r="54" spans="2:12">
      <c r="B54" s="73">
        <f>IF(Jurisdictions[[#This Row],[Active]]=TRUE,1,0)</f>
        <v>1</v>
      </c>
      <c r="C54" s="75" t="b">
        <v>1</v>
      </c>
      <c r="D54" s="73" t="s">
        <v>500</v>
      </c>
      <c r="E54" s="76" t="s">
        <v>103</v>
      </c>
      <c r="F54" s="76" t="s">
        <v>104</v>
      </c>
      <c r="G54" s="73" t="s">
        <v>53</v>
      </c>
      <c r="H54" s="73" t="s">
        <v>105</v>
      </c>
      <c r="I54" s="76" t="s">
        <v>417</v>
      </c>
      <c r="J54" s="73" t="s">
        <v>53</v>
      </c>
      <c r="K54" s="78">
        <v>18</v>
      </c>
      <c r="L54" s="78">
        <v>769</v>
      </c>
    </row>
    <row r="55" spans="2:12">
      <c r="B55" s="73">
        <f>IF(Jurisdictions[[#This Row],[Active]]=TRUE,1,0)</f>
        <v>1</v>
      </c>
      <c r="C55" s="75" t="b">
        <v>1</v>
      </c>
      <c r="D55" s="73" t="s">
        <v>501</v>
      </c>
      <c r="E55" s="76" t="s">
        <v>502</v>
      </c>
      <c r="F55" s="76" t="s">
        <v>503</v>
      </c>
      <c r="G55" s="73" t="s">
        <v>53</v>
      </c>
      <c r="H55" s="73" t="s">
        <v>99</v>
      </c>
      <c r="I55" s="76" t="s">
        <v>373</v>
      </c>
      <c r="J55" s="73" t="s">
        <v>504</v>
      </c>
      <c r="K55" s="78">
        <v>19.100000000000001</v>
      </c>
      <c r="L55" s="78">
        <v>770</v>
      </c>
    </row>
    <row r="56" spans="2:12">
      <c r="B56" s="73">
        <f>IF(Jurisdictions[[#This Row],[Active]]=TRUE,1,0)</f>
        <v>1</v>
      </c>
      <c r="C56" s="75" t="b">
        <v>1</v>
      </c>
      <c r="D56" s="73" t="s">
        <v>504</v>
      </c>
      <c r="E56" s="76" t="s">
        <v>108</v>
      </c>
      <c r="F56" s="76" t="s">
        <v>109</v>
      </c>
      <c r="G56" s="73" t="s">
        <v>53</v>
      </c>
      <c r="H56" s="73" t="s">
        <v>99</v>
      </c>
      <c r="I56" s="76" t="s">
        <v>417</v>
      </c>
      <c r="J56" s="73" t="s">
        <v>53</v>
      </c>
      <c r="K56" s="78">
        <v>19</v>
      </c>
      <c r="L56" s="78">
        <v>771</v>
      </c>
    </row>
    <row r="57" spans="2:12">
      <c r="B57" s="73">
        <f>IF(Jurisdictions[[#This Row],[Active]]=TRUE,1,0)</f>
        <v>1</v>
      </c>
      <c r="C57" s="75" t="b">
        <v>1</v>
      </c>
      <c r="D57" s="73" t="s">
        <v>505</v>
      </c>
      <c r="E57" s="76" t="s">
        <v>506</v>
      </c>
      <c r="F57" s="76" t="s">
        <v>507</v>
      </c>
      <c r="G57" s="73" t="s">
        <v>49</v>
      </c>
      <c r="H57" s="73" t="s">
        <v>79</v>
      </c>
      <c r="I57" s="76" t="s">
        <v>373</v>
      </c>
      <c r="J57" s="73" t="s">
        <v>508</v>
      </c>
      <c r="K57" s="78">
        <v>6.4</v>
      </c>
      <c r="L57" s="78">
        <v>772</v>
      </c>
    </row>
    <row r="58" spans="2:12">
      <c r="B58" s="73">
        <f>IF(Jurisdictions[[#This Row],[Active]]=TRUE,1,0)</f>
        <v>1</v>
      </c>
      <c r="C58" s="75" t="b">
        <v>1</v>
      </c>
      <c r="D58" s="73" t="s">
        <v>508</v>
      </c>
      <c r="E58" s="76" t="s">
        <v>509</v>
      </c>
      <c r="F58" s="76" t="s">
        <v>510</v>
      </c>
      <c r="G58" s="73" t="s">
        <v>49</v>
      </c>
      <c r="H58" s="73" t="s">
        <v>79</v>
      </c>
      <c r="I58" s="76" t="s">
        <v>100</v>
      </c>
      <c r="J58" s="73" t="s">
        <v>49</v>
      </c>
      <c r="K58" s="78">
        <v>6</v>
      </c>
      <c r="L58" s="78">
        <v>773</v>
      </c>
    </row>
    <row r="59" spans="2:12">
      <c r="B59" s="73">
        <f>IF(Jurisdictions[[#This Row],[Active]]=TRUE,1,0)</f>
        <v>1</v>
      </c>
      <c r="C59" s="75" t="b">
        <v>1</v>
      </c>
      <c r="D59" s="73" t="s">
        <v>511</v>
      </c>
      <c r="E59" s="76" t="s">
        <v>512</v>
      </c>
      <c r="F59" s="76" t="s">
        <v>513</v>
      </c>
      <c r="G59" s="73" t="s">
        <v>49</v>
      </c>
      <c r="H59" s="73" t="s">
        <v>79</v>
      </c>
      <c r="I59" s="76" t="s">
        <v>373</v>
      </c>
      <c r="J59" s="73" t="s">
        <v>508</v>
      </c>
      <c r="K59" s="78">
        <v>6.1</v>
      </c>
      <c r="L59" s="78">
        <v>774</v>
      </c>
    </row>
    <row r="60" spans="2:12">
      <c r="B60" s="73">
        <f>IF(Jurisdictions[[#This Row],[Active]]=TRUE,1,0)</f>
        <v>1</v>
      </c>
      <c r="C60" s="75" t="b">
        <v>1</v>
      </c>
      <c r="D60" s="73" t="s">
        <v>514</v>
      </c>
      <c r="E60" s="76" t="s">
        <v>515</v>
      </c>
      <c r="F60" s="76" t="s">
        <v>516</v>
      </c>
      <c r="G60" s="73" t="s">
        <v>49</v>
      </c>
      <c r="H60" s="73" t="s">
        <v>79</v>
      </c>
      <c r="I60" s="76" t="s">
        <v>373</v>
      </c>
      <c r="J60" s="73" t="s">
        <v>508</v>
      </c>
      <c r="K60" s="78">
        <v>6.6</v>
      </c>
      <c r="L60" s="78">
        <v>775</v>
      </c>
    </row>
    <row r="61" spans="2:12">
      <c r="B61" s="73">
        <f>IF(Jurisdictions[[#This Row],[Active]]=TRUE,1,0)</f>
        <v>1</v>
      </c>
      <c r="C61" s="75" t="b">
        <v>1</v>
      </c>
      <c r="D61" s="73" t="s">
        <v>517</v>
      </c>
      <c r="E61" s="76" t="s">
        <v>518</v>
      </c>
      <c r="F61" s="76" t="s">
        <v>519</v>
      </c>
      <c r="G61" s="73" t="s">
        <v>49</v>
      </c>
      <c r="H61" s="73" t="s">
        <v>79</v>
      </c>
      <c r="I61" s="76" t="s">
        <v>373</v>
      </c>
      <c r="J61" s="73" t="s">
        <v>508</v>
      </c>
      <c r="K61" s="78">
        <v>6.2</v>
      </c>
      <c r="L61" s="78">
        <v>776</v>
      </c>
    </row>
    <row r="62" spans="2:12">
      <c r="B62" s="73">
        <f>IF(Jurisdictions[[#This Row],[Active]]=TRUE,1,0)</f>
        <v>1</v>
      </c>
      <c r="C62" s="75" t="b">
        <v>1</v>
      </c>
      <c r="D62" s="73" t="s">
        <v>520</v>
      </c>
      <c r="E62" s="76" t="s">
        <v>521</v>
      </c>
      <c r="F62" s="76" t="s">
        <v>522</v>
      </c>
      <c r="G62" s="73" t="s">
        <v>49</v>
      </c>
      <c r="H62" s="73" t="s">
        <v>79</v>
      </c>
      <c r="I62" s="76" t="s">
        <v>373</v>
      </c>
      <c r="J62" s="73" t="s">
        <v>508</v>
      </c>
      <c r="K62" s="78">
        <v>6.3</v>
      </c>
      <c r="L62" s="78">
        <v>777</v>
      </c>
    </row>
    <row r="63" spans="2:12">
      <c r="B63" s="73">
        <f>IF(Jurisdictions[[#This Row],[Active]]=TRUE,1,0)</f>
        <v>1</v>
      </c>
      <c r="C63" s="75" t="b">
        <v>1</v>
      </c>
      <c r="D63" s="73" t="s">
        <v>523</v>
      </c>
      <c r="E63" s="76" t="s">
        <v>524</v>
      </c>
      <c r="F63" s="76" t="s">
        <v>525</v>
      </c>
      <c r="G63" s="73" t="s">
        <v>49</v>
      </c>
      <c r="H63" s="73" t="s">
        <v>79</v>
      </c>
      <c r="I63" s="76" t="s">
        <v>373</v>
      </c>
      <c r="J63" s="73" t="s">
        <v>508</v>
      </c>
      <c r="K63" s="78">
        <v>6.5</v>
      </c>
      <c r="L63" s="78">
        <v>778</v>
      </c>
    </row>
    <row r="64" spans="2:12">
      <c r="B64" s="73">
        <f>IF(Jurisdictions[[#This Row],[Active]]=TRUE,1,0)</f>
        <v>1</v>
      </c>
      <c r="C64" s="75" t="b">
        <v>1</v>
      </c>
      <c r="D64" s="73" t="s">
        <v>526</v>
      </c>
      <c r="E64" s="76" t="s">
        <v>527</v>
      </c>
      <c r="F64" s="76" t="s">
        <v>528</v>
      </c>
      <c r="G64" s="73" t="s">
        <v>53</v>
      </c>
      <c r="H64" s="73" t="s">
        <v>123</v>
      </c>
      <c r="I64" s="76" t="s">
        <v>373</v>
      </c>
      <c r="J64" s="73" t="s">
        <v>529</v>
      </c>
      <c r="K64" s="78">
        <v>20.2</v>
      </c>
      <c r="L64" s="78">
        <v>779</v>
      </c>
    </row>
    <row r="65" spans="2:12">
      <c r="B65" s="73">
        <f>IF(Jurisdictions[[#This Row],[Active]]=TRUE,1,0)</f>
        <v>1</v>
      </c>
      <c r="C65" s="75" t="b">
        <v>1</v>
      </c>
      <c r="D65" s="73" t="s">
        <v>529</v>
      </c>
      <c r="E65" s="76" t="s">
        <v>121</v>
      </c>
      <c r="F65" s="76" t="s">
        <v>530</v>
      </c>
      <c r="G65" s="73" t="s">
        <v>53</v>
      </c>
      <c r="H65" s="73" t="s">
        <v>123</v>
      </c>
      <c r="I65" s="76" t="s">
        <v>417</v>
      </c>
      <c r="J65" s="73" t="s">
        <v>53</v>
      </c>
      <c r="K65" s="78">
        <v>20</v>
      </c>
      <c r="L65" s="78">
        <v>780</v>
      </c>
    </row>
    <row r="66" spans="2:12">
      <c r="B66" s="73">
        <f>IF(Jurisdictions[[#This Row],[Active]]=TRUE,1,0)</f>
        <v>1</v>
      </c>
      <c r="C66" s="75" t="b">
        <v>1</v>
      </c>
      <c r="D66" s="73" t="s">
        <v>531</v>
      </c>
      <c r="E66" s="76" t="s">
        <v>532</v>
      </c>
      <c r="F66" s="76" t="s">
        <v>533</v>
      </c>
      <c r="G66" s="73" t="s">
        <v>53</v>
      </c>
      <c r="H66" s="73" t="s">
        <v>123</v>
      </c>
      <c r="I66" s="76" t="s">
        <v>373</v>
      </c>
      <c r="J66" s="73" t="s">
        <v>529</v>
      </c>
      <c r="K66" s="78">
        <v>20.100000000000001</v>
      </c>
      <c r="L66" s="78">
        <v>781</v>
      </c>
    </row>
    <row r="67" spans="2:12">
      <c r="B67" s="73">
        <f>IF(Jurisdictions[[#This Row],[Active]]=TRUE,1,0)</f>
        <v>1</v>
      </c>
      <c r="C67" s="75" t="b">
        <v>1</v>
      </c>
      <c r="D67" s="73" t="s">
        <v>534</v>
      </c>
      <c r="E67" s="76" t="s">
        <v>535</v>
      </c>
      <c r="F67" s="76" t="s">
        <v>536</v>
      </c>
      <c r="G67" s="73" t="s">
        <v>49</v>
      </c>
      <c r="H67" s="73" t="s">
        <v>85</v>
      </c>
      <c r="I67" s="76" t="s">
        <v>373</v>
      </c>
      <c r="J67" s="73" t="s">
        <v>537</v>
      </c>
      <c r="K67" s="78">
        <v>4.3</v>
      </c>
      <c r="L67" s="78">
        <v>782</v>
      </c>
    </row>
    <row r="68" spans="2:12">
      <c r="B68" s="73">
        <f>IF(Jurisdictions[[#This Row],[Active]]=TRUE,1,0)</f>
        <v>1</v>
      </c>
      <c r="C68" s="75" t="b">
        <v>1</v>
      </c>
      <c r="D68" s="73" t="s">
        <v>538</v>
      </c>
      <c r="E68" s="76" t="s">
        <v>539</v>
      </c>
      <c r="F68" s="76" t="s">
        <v>540</v>
      </c>
      <c r="G68" s="73" t="s">
        <v>49</v>
      </c>
      <c r="H68" s="73" t="s">
        <v>85</v>
      </c>
      <c r="I68" s="76" t="s">
        <v>373</v>
      </c>
      <c r="J68" s="73" t="s">
        <v>537</v>
      </c>
      <c r="K68" s="78">
        <v>4.0999999999999996</v>
      </c>
      <c r="L68" s="78">
        <v>783</v>
      </c>
    </row>
    <row r="69" spans="2:12">
      <c r="B69" s="73">
        <f>IF(Jurisdictions[[#This Row],[Active]]=TRUE,1,0)</f>
        <v>1</v>
      </c>
      <c r="C69" s="75" t="b">
        <v>1</v>
      </c>
      <c r="D69" s="73" t="s">
        <v>537</v>
      </c>
      <c r="E69" s="76" t="s">
        <v>541</v>
      </c>
      <c r="F69" s="76" t="s">
        <v>542</v>
      </c>
      <c r="G69" s="73" t="s">
        <v>49</v>
      </c>
      <c r="H69" s="73" t="s">
        <v>85</v>
      </c>
      <c r="I69" s="76" t="s">
        <v>100</v>
      </c>
      <c r="J69" s="73" t="s">
        <v>49</v>
      </c>
      <c r="K69" s="78">
        <v>4</v>
      </c>
      <c r="L69" s="78">
        <v>784</v>
      </c>
    </row>
    <row r="70" spans="2:12">
      <c r="B70" s="73">
        <f>IF(Jurisdictions[[#This Row],[Active]]=TRUE,1,0)</f>
        <v>1</v>
      </c>
      <c r="C70" s="75" t="b">
        <v>1</v>
      </c>
      <c r="D70" s="73" t="s">
        <v>543</v>
      </c>
      <c r="E70" s="76" t="s">
        <v>544</v>
      </c>
      <c r="F70" s="76" t="s">
        <v>545</v>
      </c>
      <c r="G70" s="73" t="s">
        <v>49</v>
      </c>
      <c r="H70" s="73" t="s">
        <v>85</v>
      </c>
      <c r="I70" s="76" t="s">
        <v>373</v>
      </c>
      <c r="J70" s="73" t="s">
        <v>537</v>
      </c>
      <c r="K70" s="78">
        <v>4.2</v>
      </c>
      <c r="L70" s="78">
        <v>785</v>
      </c>
    </row>
    <row r="71" spans="2:12">
      <c r="B71" s="73">
        <f>IF(Jurisdictions[[#This Row],[Active]]=TRUE,1,0)</f>
        <v>1</v>
      </c>
      <c r="C71" s="75" t="b">
        <v>1</v>
      </c>
      <c r="D71" s="73" t="s">
        <v>546</v>
      </c>
      <c r="E71" s="76" t="s">
        <v>547</v>
      </c>
      <c r="F71" s="76" t="s">
        <v>548</v>
      </c>
      <c r="G71" s="73" t="s">
        <v>49</v>
      </c>
      <c r="H71" s="73" t="s">
        <v>88</v>
      </c>
      <c r="I71" s="76" t="s">
        <v>373</v>
      </c>
      <c r="J71" s="73" t="s">
        <v>549</v>
      </c>
      <c r="K71" s="78">
        <v>7.5</v>
      </c>
      <c r="L71" s="78">
        <v>786</v>
      </c>
    </row>
    <row r="72" spans="2:12">
      <c r="B72" s="73">
        <f>IF(Jurisdictions[[#This Row],[Active]]=TRUE,1,0)</f>
        <v>1</v>
      </c>
      <c r="C72" s="75" t="b">
        <v>1</v>
      </c>
      <c r="D72" s="73" t="s">
        <v>550</v>
      </c>
      <c r="E72" s="76" t="s">
        <v>551</v>
      </c>
      <c r="F72" s="76" t="s">
        <v>552</v>
      </c>
      <c r="G72" s="73" t="s">
        <v>49</v>
      </c>
      <c r="H72" s="73" t="s">
        <v>88</v>
      </c>
      <c r="I72" s="76" t="s">
        <v>373</v>
      </c>
      <c r="J72" s="73" t="s">
        <v>549</v>
      </c>
      <c r="K72" s="78">
        <v>7.4</v>
      </c>
      <c r="L72" s="78">
        <v>787</v>
      </c>
    </row>
    <row r="73" spans="2:12">
      <c r="B73" s="73">
        <f>IF(Jurisdictions[[#This Row],[Active]]=TRUE,1,0)</f>
        <v>1</v>
      </c>
      <c r="C73" s="75" t="b">
        <v>1</v>
      </c>
      <c r="D73" s="73" t="s">
        <v>553</v>
      </c>
      <c r="E73" s="76" t="s">
        <v>554</v>
      </c>
      <c r="F73" s="76" t="s">
        <v>555</v>
      </c>
      <c r="G73" s="73" t="s">
        <v>49</v>
      </c>
      <c r="H73" s="73" t="s">
        <v>88</v>
      </c>
      <c r="I73" s="76" t="s">
        <v>373</v>
      </c>
      <c r="J73" s="73" t="s">
        <v>549</v>
      </c>
      <c r="K73" s="78">
        <v>7.6</v>
      </c>
      <c r="L73" s="78">
        <v>788</v>
      </c>
    </row>
    <row r="74" spans="2:12">
      <c r="B74" s="73">
        <f>IF(Jurisdictions[[#This Row],[Active]]=TRUE,1,0)</f>
        <v>1</v>
      </c>
      <c r="C74" s="75" t="b">
        <v>1</v>
      </c>
      <c r="D74" s="73" t="s">
        <v>556</v>
      </c>
      <c r="E74" s="76" t="s">
        <v>557</v>
      </c>
      <c r="F74" s="76" t="s">
        <v>558</v>
      </c>
      <c r="G74" s="73" t="s">
        <v>49</v>
      </c>
      <c r="H74" s="73" t="s">
        <v>88</v>
      </c>
      <c r="I74" s="76" t="s">
        <v>373</v>
      </c>
      <c r="J74" s="73" t="s">
        <v>549</v>
      </c>
      <c r="K74" s="78">
        <v>7.2</v>
      </c>
      <c r="L74" s="78">
        <v>789</v>
      </c>
    </row>
    <row r="75" spans="2:12">
      <c r="B75" s="73">
        <f>IF(Jurisdictions[[#This Row],[Active]]=TRUE,1,0)</f>
        <v>1</v>
      </c>
      <c r="C75" s="75" t="b">
        <v>1</v>
      </c>
      <c r="D75" s="73" t="s">
        <v>559</v>
      </c>
      <c r="E75" s="76" t="s">
        <v>560</v>
      </c>
      <c r="F75" s="76" t="s">
        <v>561</v>
      </c>
      <c r="G75" s="73" t="s">
        <v>49</v>
      </c>
      <c r="H75" s="73" t="s">
        <v>88</v>
      </c>
      <c r="I75" s="76" t="s">
        <v>373</v>
      </c>
      <c r="J75" s="73" t="s">
        <v>549</v>
      </c>
      <c r="K75" s="78">
        <v>7.3</v>
      </c>
      <c r="L75" s="78">
        <v>790</v>
      </c>
    </row>
    <row r="76" spans="2:12">
      <c r="B76" s="73">
        <f>IF(Jurisdictions[[#This Row],[Active]]=TRUE,1,0)</f>
        <v>1</v>
      </c>
      <c r="C76" s="75" t="b">
        <v>1</v>
      </c>
      <c r="D76" s="73" t="s">
        <v>562</v>
      </c>
      <c r="E76" s="76" t="s">
        <v>563</v>
      </c>
      <c r="F76" s="76" t="s">
        <v>564</v>
      </c>
      <c r="G76" s="73" t="s">
        <v>49</v>
      </c>
      <c r="H76" s="73" t="s">
        <v>88</v>
      </c>
      <c r="I76" s="76" t="s">
        <v>373</v>
      </c>
      <c r="J76" s="73" t="s">
        <v>549</v>
      </c>
      <c r="K76" s="78">
        <v>7.1</v>
      </c>
      <c r="L76" s="78">
        <v>791</v>
      </c>
    </row>
    <row r="77" spans="2:12">
      <c r="B77" s="73">
        <f>IF(Jurisdictions[[#This Row],[Active]]=TRUE,1,0)</f>
        <v>1</v>
      </c>
      <c r="C77" s="75" t="b">
        <v>1</v>
      </c>
      <c r="D77" s="73" t="s">
        <v>549</v>
      </c>
      <c r="E77" s="76" t="s">
        <v>565</v>
      </c>
      <c r="F77" s="76" t="s">
        <v>566</v>
      </c>
      <c r="G77" s="73" t="s">
        <v>49</v>
      </c>
      <c r="H77" s="73" t="s">
        <v>88</v>
      </c>
      <c r="I77" s="76" t="s">
        <v>100</v>
      </c>
      <c r="J77" s="73" t="s">
        <v>49</v>
      </c>
      <c r="K77" s="78">
        <v>7</v>
      </c>
      <c r="L77" s="78">
        <v>792</v>
      </c>
    </row>
    <row r="78" spans="2:12">
      <c r="B78" s="73">
        <f>IF(Jurisdictions[[#This Row],[Active]]=TRUE,1,0)</f>
        <v>1</v>
      </c>
      <c r="C78" s="75" t="b">
        <v>1</v>
      </c>
      <c r="D78" s="73" t="s">
        <v>567</v>
      </c>
      <c r="E78" s="76" t="s">
        <v>568</v>
      </c>
      <c r="F78" s="76" t="s">
        <v>569</v>
      </c>
      <c r="G78" s="73" t="s">
        <v>53</v>
      </c>
      <c r="H78" s="73" t="s">
        <v>98</v>
      </c>
      <c r="I78" s="76" t="s">
        <v>417</v>
      </c>
      <c r="J78" s="73" t="s">
        <v>570</v>
      </c>
      <c r="K78" s="78">
        <v>21.2</v>
      </c>
      <c r="L78" s="78">
        <v>793</v>
      </c>
    </row>
    <row r="79" spans="2:12">
      <c r="B79" s="73">
        <f>IF(Jurisdictions[[#This Row],[Active]]=TRUE,1,0)</f>
        <v>1</v>
      </c>
      <c r="C79" s="75" t="b">
        <v>1</v>
      </c>
      <c r="D79" s="73" t="s">
        <v>571</v>
      </c>
      <c r="E79" s="76" t="s">
        <v>572</v>
      </c>
      <c r="F79" s="76" t="s">
        <v>573</v>
      </c>
      <c r="G79" s="73" t="s">
        <v>53</v>
      </c>
      <c r="H79" s="73" t="s">
        <v>98</v>
      </c>
      <c r="I79" s="76" t="s">
        <v>373</v>
      </c>
      <c r="J79" s="73" t="s">
        <v>570</v>
      </c>
      <c r="K79" s="78">
        <v>21.1</v>
      </c>
      <c r="L79" s="78">
        <v>794</v>
      </c>
    </row>
    <row r="80" spans="2:12">
      <c r="B80" s="73">
        <f>IF(Jurisdictions[[#This Row],[Active]]=TRUE,1,0)</f>
        <v>1</v>
      </c>
      <c r="C80" s="75" t="b">
        <v>1</v>
      </c>
      <c r="D80" s="73" t="s">
        <v>574</v>
      </c>
      <c r="E80" s="76" t="s">
        <v>575</v>
      </c>
      <c r="F80" s="76" t="s">
        <v>576</v>
      </c>
      <c r="G80" s="73" t="s">
        <v>53</v>
      </c>
      <c r="H80" s="73" t="s">
        <v>98</v>
      </c>
      <c r="I80" s="76" t="s">
        <v>417</v>
      </c>
      <c r="J80" s="73" t="s">
        <v>570</v>
      </c>
      <c r="K80" s="78">
        <v>21.3</v>
      </c>
      <c r="L80" s="78">
        <v>795</v>
      </c>
    </row>
    <row r="81" spans="2:12">
      <c r="B81" s="73">
        <f>IF(Jurisdictions[[#This Row],[Active]]=TRUE,1,0)</f>
        <v>1</v>
      </c>
      <c r="C81" s="75" t="b">
        <v>1</v>
      </c>
      <c r="D81" s="73" t="s">
        <v>570</v>
      </c>
      <c r="E81" s="76" t="s">
        <v>106</v>
      </c>
      <c r="F81" s="76" t="s">
        <v>107</v>
      </c>
      <c r="G81" s="73" t="s">
        <v>53</v>
      </c>
      <c r="H81" s="73" t="s">
        <v>98</v>
      </c>
      <c r="I81" s="76" t="s">
        <v>417</v>
      </c>
      <c r="J81" s="73" t="s">
        <v>53</v>
      </c>
      <c r="K81" s="78">
        <v>21</v>
      </c>
      <c r="L81" s="78">
        <v>796</v>
      </c>
    </row>
    <row r="82" spans="2:12">
      <c r="B82" s="73">
        <f>IF(Jurisdictions[[#This Row],[Active]]=TRUE,1,0)</f>
        <v>1</v>
      </c>
      <c r="C82" s="75" t="b">
        <v>1</v>
      </c>
      <c r="D82" s="73" t="s">
        <v>577</v>
      </c>
      <c r="E82" s="76" t="s">
        <v>578</v>
      </c>
      <c r="F82" s="76" t="s">
        <v>579</v>
      </c>
      <c r="G82" s="73" t="s">
        <v>53</v>
      </c>
      <c r="H82" s="73" t="s">
        <v>111</v>
      </c>
      <c r="I82" s="76" t="s">
        <v>373</v>
      </c>
      <c r="J82" s="73" t="s">
        <v>580</v>
      </c>
      <c r="K82" s="78">
        <v>22.1</v>
      </c>
      <c r="L82" s="78">
        <v>797</v>
      </c>
    </row>
    <row r="83" spans="2:12">
      <c r="B83" s="73">
        <f>IF(Jurisdictions[[#This Row],[Active]]=TRUE,1,0)</f>
        <v>1</v>
      </c>
      <c r="C83" s="75" t="b">
        <v>1</v>
      </c>
      <c r="D83" s="73" t="s">
        <v>580</v>
      </c>
      <c r="E83" s="76" t="s">
        <v>110</v>
      </c>
      <c r="F83" s="76" t="s">
        <v>199</v>
      </c>
      <c r="G83" s="73" t="s">
        <v>53</v>
      </c>
      <c r="H83" s="73" t="s">
        <v>111</v>
      </c>
      <c r="I83" s="76" t="s">
        <v>417</v>
      </c>
      <c r="J83" s="73" t="s">
        <v>53</v>
      </c>
      <c r="K83" s="78">
        <v>22</v>
      </c>
      <c r="L83" s="78">
        <v>798</v>
      </c>
    </row>
    <row r="84" spans="2:12">
      <c r="B84" s="73">
        <f>IF(Jurisdictions[[#This Row],[Active]]=TRUE,1,0)</f>
        <v>1</v>
      </c>
      <c r="C84" s="75" t="b">
        <v>1</v>
      </c>
      <c r="D84" s="73" t="s">
        <v>581</v>
      </c>
      <c r="E84" s="76" t="s">
        <v>582</v>
      </c>
      <c r="F84" s="76" t="s">
        <v>583</v>
      </c>
      <c r="G84" s="73" t="s">
        <v>53</v>
      </c>
      <c r="H84" s="73" t="s">
        <v>135</v>
      </c>
      <c r="I84" s="76" t="s">
        <v>373</v>
      </c>
      <c r="J84" s="73" t="s">
        <v>584</v>
      </c>
      <c r="K84" s="78">
        <v>23.1</v>
      </c>
      <c r="L84" s="78">
        <v>799</v>
      </c>
    </row>
    <row r="85" spans="2:12">
      <c r="B85" s="73">
        <f>IF(Jurisdictions[[#This Row],[Active]]=TRUE,1,0)</f>
        <v>1</v>
      </c>
      <c r="C85" s="75" t="b">
        <v>1</v>
      </c>
      <c r="D85" s="73" t="s">
        <v>584</v>
      </c>
      <c r="E85" s="76" t="s">
        <v>133</v>
      </c>
      <c r="F85" s="76" t="s">
        <v>134</v>
      </c>
      <c r="G85" s="73" t="s">
        <v>53</v>
      </c>
      <c r="H85" s="73" t="s">
        <v>135</v>
      </c>
      <c r="I85" s="76" t="s">
        <v>417</v>
      </c>
      <c r="J85" s="73" t="s">
        <v>53</v>
      </c>
      <c r="K85" s="78">
        <v>23</v>
      </c>
      <c r="L85" s="78">
        <v>800</v>
      </c>
    </row>
    <row r="86" spans="2:12">
      <c r="B86" s="73">
        <f>IF(Jurisdictions[[#This Row],[Active]]=TRUE,1,0)</f>
        <v>1</v>
      </c>
      <c r="C86" s="75" t="b">
        <v>1</v>
      </c>
      <c r="D86" s="73" t="s">
        <v>101</v>
      </c>
      <c r="E86" s="76" t="s">
        <v>202</v>
      </c>
      <c r="F86" s="76" t="s">
        <v>102</v>
      </c>
      <c r="G86" s="73" t="s">
        <v>49</v>
      </c>
      <c r="H86" s="73" t="s">
        <v>54</v>
      </c>
      <c r="I86" s="76" t="s">
        <v>100</v>
      </c>
      <c r="J86" s="73" t="s">
        <v>49</v>
      </c>
      <c r="K86" s="78">
        <v>1</v>
      </c>
      <c r="L86" s="78">
        <v>824</v>
      </c>
    </row>
    <row r="87" spans="2:12">
      <c r="B87" s="73">
        <f>IF(Jurisdictions[[#This Row],[Active]]=TRUE,1,0)</f>
        <v>1</v>
      </c>
      <c r="C87" s="75" t="b">
        <v>1</v>
      </c>
      <c r="D87" s="73" t="s">
        <v>585</v>
      </c>
      <c r="E87" s="76" t="s">
        <v>200</v>
      </c>
      <c r="F87" s="76" t="s">
        <v>586</v>
      </c>
      <c r="G87" s="73" t="s">
        <v>53</v>
      </c>
      <c r="H87" s="73" t="s">
        <v>198</v>
      </c>
      <c r="I87" s="76" t="s">
        <v>417</v>
      </c>
      <c r="J87" s="73" t="s">
        <v>53</v>
      </c>
      <c r="K87" s="78">
        <v>1</v>
      </c>
      <c r="L87" s="78">
        <v>992</v>
      </c>
    </row>
    <row r="88" spans="2:12">
      <c r="B88" s="73">
        <f>IF(Jurisdictions[[#This Row],[Active]]=TRUE,1,0)</f>
        <v>1</v>
      </c>
      <c r="C88" s="75" t="b">
        <v>1</v>
      </c>
      <c r="D88" s="73" t="s">
        <v>717</v>
      </c>
      <c r="E88" s="76" t="s">
        <v>718</v>
      </c>
      <c r="F88" s="76" t="s">
        <v>719</v>
      </c>
      <c r="G88" s="73" t="s">
        <v>53</v>
      </c>
      <c r="H88" s="73" t="s">
        <v>120</v>
      </c>
      <c r="I88" s="76" t="s">
        <v>417</v>
      </c>
      <c r="J88" s="73" t="s">
        <v>416</v>
      </c>
      <c r="K88" s="78">
        <v>0</v>
      </c>
      <c r="L88" s="78">
        <v>993</v>
      </c>
    </row>
    <row r="89" spans="2:12">
      <c r="B89" s="73">
        <f>IF(Jurisdictions[[#This Row],[Active]]=TRUE,1,0)</f>
        <v>1</v>
      </c>
      <c r="C89" s="75" t="b">
        <v>1</v>
      </c>
      <c r="D89" s="73" t="s">
        <v>720</v>
      </c>
      <c r="E89" s="76" t="s">
        <v>721</v>
      </c>
      <c r="F89" s="76" t="s">
        <v>722</v>
      </c>
      <c r="G89" s="73" t="s">
        <v>49</v>
      </c>
      <c r="H89" s="73" t="s">
        <v>79</v>
      </c>
      <c r="I89" s="76" t="s">
        <v>100</v>
      </c>
      <c r="J89" s="73" t="s">
        <v>508</v>
      </c>
      <c r="K89" s="78">
        <v>0</v>
      </c>
      <c r="L89" s="78">
        <v>994</v>
      </c>
    </row>
    <row r="90" spans="2:12">
      <c r="B90" s="73">
        <f>IF(Jurisdictions[[#This Row],[Active]]=TRUE,1,0)</f>
        <v>1</v>
      </c>
      <c r="C90" s="75" t="b">
        <v>1</v>
      </c>
      <c r="D90" s="73" t="s">
        <v>723</v>
      </c>
      <c r="E90" s="76" t="s">
        <v>724</v>
      </c>
      <c r="F90" s="76" t="s">
        <v>725</v>
      </c>
      <c r="G90" s="73" t="s">
        <v>49</v>
      </c>
      <c r="H90" s="73" t="s">
        <v>67</v>
      </c>
      <c r="I90" s="76" t="s">
        <v>100</v>
      </c>
      <c r="J90" s="73" t="s">
        <v>49</v>
      </c>
      <c r="K90" s="78">
        <v>0</v>
      </c>
      <c r="L90" s="78">
        <v>995</v>
      </c>
    </row>
    <row r="91" spans="2:12">
      <c r="B91" s="73">
        <f>IF(Jurisdictions[[#This Row],[Active]]=TRUE,1,0)</f>
        <v>1</v>
      </c>
      <c r="C91" s="75" t="b">
        <v>1</v>
      </c>
      <c r="D91" s="73" t="s">
        <v>726</v>
      </c>
      <c r="E91" s="76" t="s">
        <v>727</v>
      </c>
      <c r="F91" s="76" t="s">
        <v>728</v>
      </c>
      <c r="G91" s="73" t="s">
        <v>49</v>
      </c>
      <c r="H91" s="73" t="s">
        <v>67</v>
      </c>
      <c r="I91" s="76" t="s">
        <v>100</v>
      </c>
      <c r="J91" s="73" t="s">
        <v>723</v>
      </c>
      <c r="K91" s="78">
        <v>0</v>
      </c>
      <c r="L91" s="78">
        <v>996</v>
      </c>
    </row>
    <row r="92" spans="2:12">
      <c r="B92" s="73">
        <f>IF(Jurisdictions[[#This Row],[Active]]=TRUE,1,0)</f>
        <v>1</v>
      </c>
      <c r="C92" s="75" t="b">
        <v>1</v>
      </c>
      <c r="D92" s="73" t="s">
        <v>49</v>
      </c>
      <c r="E92" s="76" t="s">
        <v>52</v>
      </c>
      <c r="F92" s="76" t="s">
        <v>52</v>
      </c>
      <c r="G92" s="73" t="s">
        <v>49</v>
      </c>
      <c r="H92" s="73"/>
      <c r="I92" s="76" t="s">
        <v>729</v>
      </c>
      <c r="J92" s="73"/>
      <c r="K92" s="78">
        <v>0</v>
      </c>
      <c r="L92" s="78">
        <v>997</v>
      </c>
    </row>
    <row r="93" spans="2:12">
      <c r="B93" s="73">
        <f>IF(Jurisdictions[[#This Row],[Active]]=TRUE,1,0)</f>
        <v>1</v>
      </c>
      <c r="C93" s="75" t="b">
        <v>1</v>
      </c>
      <c r="D93" s="73" t="s">
        <v>53</v>
      </c>
      <c r="E93" s="76" t="s">
        <v>730</v>
      </c>
      <c r="F93" s="76" t="s">
        <v>603</v>
      </c>
      <c r="G93" s="73" t="s">
        <v>53</v>
      </c>
      <c r="H93" s="73"/>
      <c r="I93" s="76" t="s">
        <v>729</v>
      </c>
      <c r="J93" s="73"/>
      <c r="K93" s="78">
        <v>0</v>
      </c>
      <c r="L93" s="78">
        <v>998</v>
      </c>
    </row>
    <row r="94" spans="2:12">
      <c r="B94" s="73">
        <f>IF(Jurisdictions[[#This Row],[Active]]=TRUE,1,0)</f>
        <v>1</v>
      </c>
      <c r="C94" s="75" t="b">
        <v>1</v>
      </c>
      <c r="D94" s="73" t="s">
        <v>697</v>
      </c>
      <c r="E94" s="76" t="s">
        <v>698</v>
      </c>
      <c r="F94" s="76" t="s">
        <v>698</v>
      </c>
      <c r="G94" s="73" t="s">
        <v>697</v>
      </c>
      <c r="H94" s="73"/>
      <c r="I94" s="76" t="s">
        <v>729</v>
      </c>
      <c r="J94" s="73"/>
      <c r="K94" s="78">
        <v>0</v>
      </c>
      <c r="L94" s="78">
        <v>999</v>
      </c>
    </row>
    <row r="95" spans="2:12">
      <c r="B95" s="73">
        <f>IF(Jurisdictions[[#This Row],[Active]]=TRUE,1,0)</f>
        <v>1</v>
      </c>
      <c r="C95" s="75" t="b">
        <v>1</v>
      </c>
      <c r="D95" s="73" t="s">
        <v>731</v>
      </c>
      <c r="E95" s="76" t="s">
        <v>732</v>
      </c>
      <c r="F95" s="76" t="s">
        <v>733</v>
      </c>
      <c r="G95" s="73" t="s">
        <v>697</v>
      </c>
      <c r="H95" s="73"/>
      <c r="I95" s="76" t="s">
        <v>729</v>
      </c>
      <c r="J95" s="73"/>
      <c r="K95" s="78">
        <v>0</v>
      </c>
      <c r="L95" s="78">
        <v>1000</v>
      </c>
    </row>
    <row r="96" spans="2:12">
      <c r="B96" s="73">
        <f>IF(Jurisdictions[[#This Row],[Active]]=TRUE,1,0)</f>
        <v>1</v>
      </c>
      <c r="C96" s="75" t="b">
        <v>1</v>
      </c>
      <c r="D96" s="73" t="s">
        <v>695</v>
      </c>
      <c r="E96" s="76" t="s">
        <v>696</v>
      </c>
      <c r="F96" s="76" t="s">
        <v>696</v>
      </c>
      <c r="G96" s="73" t="s">
        <v>695</v>
      </c>
      <c r="H96" s="73"/>
      <c r="I96" s="76" t="s">
        <v>729</v>
      </c>
      <c r="J96" s="73"/>
      <c r="K96" s="78">
        <v>0</v>
      </c>
      <c r="L96" s="78">
        <v>1001</v>
      </c>
    </row>
    <row r="97" spans="2:12">
      <c r="B97" s="73">
        <f>IF(Jurisdictions[[#This Row],[Active]]=TRUE,1,0)</f>
        <v>1</v>
      </c>
      <c r="C97" s="75" t="b">
        <v>1</v>
      </c>
      <c r="D97" s="73" t="s">
        <v>693</v>
      </c>
      <c r="E97" s="76" t="s">
        <v>694</v>
      </c>
      <c r="F97" s="76" t="s">
        <v>694</v>
      </c>
      <c r="G97" s="73" t="s">
        <v>693</v>
      </c>
      <c r="H97" s="73"/>
      <c r="I97" s="76" t="s">
        <v>729</v>
      </c>
      <c r="J97" s="73"/>
      <c r="K97" s="78">
        <v>0</v>
      </c>
      <c r="L97" s="78">
        <v>1002</v>
      </c>
    </row>
    <row r="98" spans="2:12">
      <c r="B98" s="73">
        <f>IF(Jurisdictions[[#This Row],[Active]]=TRUE,1,0)</f>
        <v>1</v>
      </c>
      <c r="C98" s="75" t="b">
        <v>1</v>
      </c>
      <c r="D98" s="73" t="s">
        <v>734</v>
      </c>
      <c r="E98" s="76" t="s">
        <v>735</v>
      </c>
      <c r="F98" s="76" t="s">
        <v>736</v>
      </c>
      <c r="G98" s="73" t="s">
        <v>693</v>
      </c>
      <c r="H98" s="73" t="s">
        <v>708</v>
      </c>
      <c r="I98" s="76" t="s">
        <v>373</v>
      </c>
      <c r="J98" s="73" t="s">
        <v>737</v>
      </c>
      <c r="K98" s="78">
        <v>0</v>
      </c>
      <c r="L98" s="78">
        <v>1003</v>
      </c>
    </row>
    <row r="99" spans="2:12">
      <c r="B99" s="73">
        <f>IF(Jurisdictions[[#This Row],[Active]]=TRUE,1,0)</f>
        <v>1</v>
      </c>
      <c r="C99" s="75" t="b">
        <v>1</v>
      </c>
      <c r="D99" s="73" t="s">
        <v>738</v>
      </c>
      <c r="E99" s="76" t="s">
        <v>739</v>
      </c>
      <c r="F99" s="76" t="s">
        <v>740</v>
      </c>
      <c r="G99" s="73" t="s">
        <v>693</v>
      </c>
      <c r="H99" s="73" t="s">
        <v>705</v>
      </c>
      <c r="I99" s="76" t="s">
        <v>373</v>
      </c>
      <c r="J99" s="73" t="s">
        <v>741</v>
      </c>
      <c r="K99" s="78">
        <v>0</v>
      </c>
      <c r="L99" s="78">
        <v>1004</v>
      </c>
    </row>
    <row r="100" spans="2:12">
      <c r="B100" s="73">
        <f>IF(Jurisdictions[[#This Row],[Active]]=TRUE,1,0)</f>
        <v>1</v>
      </c>
      <c r="C100" s="75" t="b">
        <v>1</v>
      </c>
      <c r="D100" s="73" t="s">
        <v>742</v>
      </c>
      <c r="E100" s="76" t="s">
        <v>743</v>
      </c>
      <c r="F100" s="76" t="s">
        <v>744</v>
      </c>
      <c r="G100" s="73" t="s">
        <v>693</v>
      </c>
      <c r="H100" s="73" t="s">
        <v>708</v>
      </c>
      <c r="I100" s="76" t="s">
        <v>373</v>
      </c>
      <c r="J100" s="73" t="s">
        <v>737</v>
      </c>
      <c r="K100" s="78">
        <v>0</v>
      </c>
      <c r="L100" s="78">
        <v>1005</v>
      </c>
    </row>
    <row r="101" spans="2:12">
      <c r="B101" s="73">
        <f>IF(Jurisdictions[[#This Row],[Active]]=TRUE,1,0)</f>
        <v>1</v>
      </c>
      <c r="C101" s="75" t="b">
        <v>1</v>
      </c>
      <c r="D101" s="73" t="s">
        <v>741</v>
      </c>
      <c r="E101" s="76" t="s">
        <v>706</v>
      </c>
      <c r="F101" s="76" t="s">
        <v>707</v>
      </c>
      <c r="G101" s="73" t="s">
        <v>693</v>
      </c>
      <c r="H101" s="73" t="s">
        <v>705</v>
      </c>
      <c r="I101" s="76" t="s">
        <v>100</v>
      </c>
      <c r="J101" s="73" t="s">
        <v>693</v>
      </c>
      <c r="K101" s="78">
        <v>0</v>
      </c>
      <c r="L101" s="78">
        <v>1006</v>
      </c>
    </row>
    <row r="102" spans="2:12">
      <c r="B102" s="73">
        <f>IF(Jurisdictions[[#This Row],[Active]]=TRUE,1,0)</f>
        <v>1</v>
      </c>
      <c r="C102" s="75" t="b">
        <v>1</v>
      </c>
      <c r="D102" s="73" t="s">
        <v>737</v>
      </c>
      <c r="E102" s="76" t="s">
        <v>709</v>
      </c>
      <c r="F102" s="76" t="s">
        <v>710</v>
      </c>
      <c r="G102" s="73" t="s">
        <v>693</v>
      </c>
      <c r="H102" s="73" t="s">
        <v>708</v>
      </c>
      <c r="I102" s="76" t="s">
        <v>100</v>
      </c>
      <c r="J102" s="73" t="s">
        <v>693</v>
      </c>
      <c r="K102" s="78">
        <v>0</v>
      </c>
      <c r="L102" s="78">
        <v>1007</v>
      </c>
    </row>
    <row r="103" spans="2:12">
      <c r="B103" s="73">
        <f>IF(Jurisdictions[[#This Row],[Active]]=TRUE,1,0)</f>
        <v>1</v>
      </c>
      <c r="C103" s="75" t="b">
        <v>1</v>
      </c>
      <c r="D103" s="73" t="s">
        <v>745</v>
      </c>
      <c r="E103" s="76" t="s">
        <v>746</v>
      </c>
      <c r="F103" s="76" t="s">
        <v>747</v>
      </c>
      <c r="G103" s="73" t="s">
        <v>53</v>
      </c>
      <c r="H103" s="73" t="s">
        <v>98</v>
      </c>
      <c r="I103" s="76" t="s">
        <v>373</v>
      </c>
      <c r="J103" s="73" t="s">
        <v>570</v>
      </c>
      <c r="K103" s="78">
        <v>21.4</v>
      </c>
      <c r="L103" s="78">
        <v>1008</v>
      </c>
    </row>
    <row r="104" spans="2:12">
      <c r="B104" s="73">
        <f>IF(Jurisdictions[[#This Row],[Active]]=TRUE,1,0)</f>
        <v>1</v>
      </c>
      <c r="C104" s="75" t="b">
        <v>1</v>
      </c>
      <c r="D104" s="73" t="s">
        <v>748</v>
      </c>
      <c r="E104" s="76" t="s">
        <v>749</v>
      </c>
      <c r="F104" s="76" t="s">
        <v>750</v>
      </c>
      <c r="G104" s="73" t="s">
        <v>695</v>
      </c>
      <c r="H104" s="73"/>
      <c r="I104" s="76" t="s">
        <v>373</v>
      </c>
      <c r="J104" s="73" t="s">
        <v>695</v>
      </c>
      <c r="K104" s="78">
        <v>0</v>
      </c>
      <c r="L104" s="78">
        <v>1009</v>
      </c>
    </row>
    <row r="105" spans="2:12">
      <c r="B105" s="73">
        <f>IF(Jurisdictions[[#This Row],[Active]]=TRUE,1,0)</f>
        <v>1</v>
      </c>
      <c r="C105" s="75" t="b">
        <v>1</v>
      </c>
      <c r="D105" s="73" t="s">
        <v>703</v>
      </c>
      <c r="E105" s="76" t="s">
        <v>704</v>
      </c>
      <c r="F105" s="76" t="s">
        <v>704</v>
      </c>
      <c r="G105" s="73" t="s">
        <v>703</v>
      </c>
      <c r="H105" s="73"/>
      <c r="I105" s="76" t="s">
        <v>729</v>
      </c>
      <c r="J105" s="73"/>
      <c r="K105" s="78">
        <v>0</v>
      </c>
      <c r="L105" s="78">
        <v>1010</v>
      </c>
    </row>
    <row r="106" spans="2:12">
      <c r="B106" s="73">
        <f>IF(Jurisdictions[[#This Row],[Active]]=TRUE,1,0)</f>
        <v>1</v>
      </c>
      <c r="C106" s="75" t="b">
        <v>1</v>
      </c>
      <c r="D106" s="73" t="s">
        <v>751</v>
      </c>
      <c r="E106" s="76" t="s">
        <v>752</v>
      </c>
      <c r="F106" s="76" t="s">
        <v>753</v>
      </c>
      <c r="G106" s="73" t="s">
        <v>49</v>
      </c>
      <c r="H106" s="73" t="s">
        <v>79</v>
      </c>
      <c r="I106" s="76" t="s">
        <v>100</v>
      </c>
      <c r="J106" s="73" t="s">
        <v>508</v>
      </c>
      <c r="K106" s="78">
        <v>0</v>
      </c>
      <c r="L106" s="78">
        <v>1011</v>
      </c>
    </row>
    <row r="107" spans="2:12">
      <c r="B107" s="73">
        <f>IF(Jurisdictions[[#This Row],[Active]]=TRUE,1,0)</f>
        <v>1</v>
      </c>
      <c r="C107" s="75" t="b">
        <v>1</v>
      </c>
      <c r="D107" s="73" t="s">
        <v>754</v>
      </c>
      <c r="E107" s="76" t="s">
        <v>755</v>
      </c>
      <c r="F107" s="76" t="s">
        <v>756</v>
      </c>
      <c r="G107" s="73" t="s">
        <v>49</v>
      </c>
      <c r="H107" s="73" t="s">
        <v>54</v>
      </c>
      <c r="I107" s="76" t="s">
        <v>100</v>
      </c>
      <c r="J107" s="73" t="s">
        <v>101</v>
      </c>
      <c r="K107" s="78">
        <v>0</v>
      </c>
      <c r="L107" s="78">
        <v>1012</v>
      </c>
    </row>
    <row r="108" spans="2:12">
      <c r="B108" s="73">
        <f>IF(Jurisdictions[[#This Row],[Active]]=TRUE,1,0)</f>
        <v>1</v>
      </c>
      <c r="C108" s="75" t="b">
        <v>1</v>
      </c>
      <c r="D108" s="73" t="s">
        <v>757</v>
      </c>
      <c r="E108" s="76" t="s">
        <v>758</v>
      </c>
      <c r="F108" s="76" t="s">
        <v>759</v>
      </c>
      <c r="G108" s="73" t="s">
        <v>49</v>
      </c>
      <c r="H108" s="73" t="s">
        <v>79</v>
      </c>
      <c r="I108" s="76" t="s">
        <v>100</v>
      </c>
      <c r="J108" s="73" t="s">
        <v>508</v>
      </c>
      <c r="K108" s="78">
        <v>0</v>
      </c>
      <c r="L108" s="78">
        <v>1013</v>
      </c>
    </row>
    <row r="109" spans="2:12">
      <c r="B109" s="73">
        <f>IF(Jurisdictions[[#This Row],[Active]]=TRUE,1,0)</f>
        <v>1</v>
      </c>
      <c r="C109" s="75" t="b">
        <v>1</v>
      </c>
      <c r="D109" s="73" t="s">
        <v>760</v>
      </c>
      <c r="E109" s="76" t="s">
        <v>761</v>
      </c>
      <c r="F109" s="76" t="s">
        <v>762</v>
      </c>
      <c r="G109" s="73" t="s">
        <v>49</v>
      </c>
      <c r="H109" s="73" t="s">
        <v>79</v>
      </c>
      <c r="I109" s="76" t="s">
        <v>100</v>
      </c>
      <c r="J109" s="73" t="s">
        <v>508</v>
      </c>
      <c r="K109" s="78">
        <v>0</v>
      </c>
      <c r="L109" s="78">
        <v>1014</v>
      </c>
    </row>
  </sheetData>
  <dataConsolidate/>
  <mergeCells count="1">
    <mergeCell ref="B2:K2"/>
  </mergeCells>
  <conditionalFormatting sqref="B5:L109">
    <cfRule type="expression" dxfId="43" priority="1">
      <formula>$C5 = FALSE</formula>
    </cfRule>
  </conditionalFormatting>
  <conditionalFormatting sqref="C5:C109">
    <cfRule type="containsText" dxfId="42" priority="2" operator="containsText" text="TRUE">
      <formula>NOT(ISERROR(SEARCH("TRUE",C5)))</formula>
    </cfRule>
    <cfRule type="containsText" dxfId="41" priority="3" operator="containsText" text="FALSE">
      <formula>NOT(ISERROR(SEARCH("FALSE",C5)))</formula>
    </cfRule>
  </conditionalFormatting>
  <dataValidations count="5">
    <dataValidation type="list" allowBlank="1" showInputMessage="1" showErrorMessage="1" sqref="C5:C109">
      <formula1>"TRUE, FALSE"</formula1>
    </dataValidation>
    <dataValidation type="list" allowBlank="1" showInputMessage="1" showErrorMessage="1" sqref="J5:J109">
      <formula1>INDIRECT("Jurisdictions[Code]")</formula1>
    </dataValidation>
    <dataValidation type="list" allowBlank="1" showInputMessage="1" showErrorMessage="1" sqref="I5:I109">
      <formula1>"FEDERAL ,PROVINCE, STATE, MUNICIPAL"</formula1>
    </dataValidation>
    <dataValidation type="list" allowBlank="1" showInputMessage="1" showErrorMessage="1" sqref="H5:H109">
      <formula1>INDIRECT("Provinces[Code]")</formula1>
    </dataValidation>
    <dataValidation type="list" allowBlank="1" showInputMessage="1" showErrorMessage="1" sqref="G5:G109">
      <formula1>INDIRECT("Countries[Code]")</formula1>
    </dataValidation>
  </dataValidations>
  <pageMargins left="0.7" right="0.7" top="0.75" bottom="0.75" header="0.3" footer="0.3"/>
  <pageSetup scale="5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2"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B5:B109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T38"/>
  <sheetViews>
    <sheetView showGridLines="0" topLeftCell="A2" zoomScaleNormal="100" workbookViewId="0">
      <pane xSplit="1" ySplit="3" topLeftCell="B26" activePane="bottomRight" state="frozen"/>
      <selection activeCell="J37" sqref="J37"/>
      <selection pane="topRight" activeCell="J37" sqref="J37"/>
      <selection pane="bottomLeft" activeCell="J37" sqref="J37"/>
      <selection pane="bottomRight" activeCell="G36" sqref="G36"/>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5" customWidth="1"/>
    <col min="6" max="6" width="12.7109375" bestFit="1" customWidth="1"/>
    <col min="7" max="7" width="9.85546875" bestFit="1" customWidth="1"/>
    <col min="8" max="8" width="13.42578125" bestFit="1" customWidth="1"/>
    <col min="9" max="9" width="21" hidden="1" customWidth="1"/>
    <col min="10" max="10" width="19.5703125" hidden="1" customWidth="1"/>
    <col min="11" max="11" width="26.140625" hidden="1" customWidth="1"/>
    <col min="12" max="12" width="27.85546875" hidden="1" customWidth="1"/>
    <col min="13" max="13" width="18.42578125" hidden="1" customWidth="1"/>
    <col min="14" max="14" width="21.140625" hidden="1" customWidth="1"/>
    <col min="15" max="15" width="21" hidden="1" customWidth="1"/>
    <col min="16" max="16" width="20.7109375" hidden="1" customWidth="1"/>
    <col min="17" max="17" width="23.5703125" hidden="1" customWidth="1"/>
    <col min="18" max="18" width="23.42578125" hidden="1" customWidth="1"/>
    <col min="19" max="19" width="21.5703125" hidden="1" customWidth="1"/>
    <col min="20" max="20" width="7.42578125" hidden="1" customWidth="1"/>
  </cols>
  <sheetData>
    <row r="1" spans="1:20" ht="74.25" hidden="1" customHeight="1">
      <c r="A1" s="16"/>
    </row>
    <row r="2" spans="1:20" s="5" customFormat="1" ht="29.25" customHeight="1" thickBot="1">
      <c r="A2" s="27"/>
      <c r="B2" s="101" t="s">
        <v>328</v>
      </c>
      <c r="C2" s="101"/>
      <c r="D2" s="101"/>
      <c r="E2" s="101"/>
      <c r="F2" s="101"/>
      <c r="G2" s="101"/>
    </row>
    <row r="3" spans="1:20" s="4" customFormat="1" ht="9" customHeight="1" thickTop="1">
      <c r="A3" s="27"/>
      <c r="C3" s="24"/>
    </row>
    <row r="4" spans="1:20" s="13" customFormat="1" ht="15" customHeight="1">
      <c r="A4" s="27"/>
      <c r="B4" s="20" t="s">
        <v>11</v>
      </c>
      <c r="C4" s="19" t="s">
        <v>1</v>
      </c>
      <c r="D4" s="19" t="s">
        <v>0</v>
      </c>
      <c r="E4" s="19" t="s">
        <v>3</v>
      </c>
      <c r="F4" s="19" t="s">
        <v>314</v>
      </c>
      <c r="G4" s="19" t="s">
        <v>96</v>
      </c>
      <c r="H4" s="19" t="s">
        <v>30</v>
      </c>
      <c r="I4" s="19" t="s">
        <v>324</v>
      </c>
      <c r="J4" s="19" t="s">
        <v>325</v>
      </c>
      <c r="K4" s="19" t="s">
        <v>315</v>
      </c>
      <c r="L4" s="19" t="s">
        <v>316</v>
      </c>
      <c r="M4" s="19" t="s">
        <v>317</v>
      </c>
      <c r="N4" s="19" t="s">
        <v>318</v>
      </c>
      <c r="O4" s="19" t="s">
        <v>319</v>
      </c>
      <c r="P4" s="19" t="s">
        <v>320</v>
      </c>
      <c r="Q4" s="19" t="s">
        <v>321</v>
      </c>
      <c r="R4" s="19" t="s">
        <v>322</v>
      </c>
      <c r="S4" s="19" t="s">
        <v>323</v>
      </c>
      <c r="T4" s="19" t="s">
        <v>20</v>
      </c>
    </row>
    <row r="5" spans="1:20">
      <c r="B5" s="68">
        <f>IF(Companies[[#This Row],[Active]]=TRUE,1,0)</f>
        <v>0</v>
      </c>
      <c r="C5" s="69" t="b">
        <v>0</v>
      </c>
      <c r="D5" s="68" t="s">
        <v>587</v>
      </c>
      <c r="E5" s="70" t="s">
        <v>588</v>
      </c>
      <c r="F5" s="70" t="s">
        <v>52</v>
      </c>
      <c r="G5" s="70" t="s">
        <v>174</v>
      </c>
      <c r="H5" s="72" t="s">
        <v>326</v>
      </c>
      <c r="I5" s="69" t="b">
        <v>0</v>
      </c>
      <c r="J5" s="72" t="s">
        <v>41</v>
      </c>
      <c r="K5" s="70" t="s">
        <v>589</v>
      </c>
      <c r="L5" s="80"/>
      <c r="M5" s="71" t="b">
        <v>1</v>
      </c>
      <c r="N5" s="72"/>
      <c r="O5" s="72"/>
      <c r="P5" s="72" t="b">
        <v>0</v>
      </c>
      <c r="Q5" s="72"/>
      <c r="R5" s="72"/>
      <c r="S5" s="72" t="s">
        <v>327</v>
      </c>
      <c r="T5" s="72">
        <v>775</v>
      </c>
    </row>
    <row r="6" spans="1:20">
      <c r="B6" s="73">
        <f>IF(Companies[[#This Row],[Active]]=TRUE,1,0)</f>
        <v>0</v>
      </c>
      <c r="C6" s="75" t="b">
        <v>0</v>
      </c>
      <c r="D6" s="73" t="s">
        <v>590</v>
      </c>
      <c r="E6" s="76" t="s">
        <v>591</v>
      </c>
      <c r="F6" s="76" t="s">
        <v>52</v>
      </c>
      <c r="G6" s="76" t="s">
        <v>153</v>
      </c>
      <c r="H6" s="74" t="s">
        <v>593</v>
      </c>
      <c r="I6" s="79" t="b">
        <v>0</v>
      </c>
      <c r="J6" s="74"/>
      <c r="K6" s="76" t="s">
        <v>592</v>
      </c>
      <c r="L6" s="86"/>
      <c r="M6" s="74" t="b">
        <v>1</v>
      </c>
      <c r="N6" s="74"/>
      <c r="O6" s="74"/>
      <c r="P6" s="74" t="b">
        <v>0</v>
      </c>
      <c r="Q6" s="74"/>
      <c r="R6" s="74"/>
      <c r="S6" s="74" t="s">
        <v>327</v>
      </c>
      <c r="T6" s="74">
        <v>776</v>
      </c>
    </row>
    <row r="7" spans="1:20">
      <c r="B7" s="73">
        <f>IF(Companies[[#This Row],[Active]]=TRUE,1,0)</f>
        <v>0</v>
      </c>
      <c r="C7" s="75" t="b">
        <v>0</v>
      </c>
      <c r="D7" s="73" t="s">
        <v>333</v>
      </c>
      <c r="E7" s="76" t="s">
        <v>167</v>
      </c>
      <c r="F7" s="76" t="s">
        <v>52</v>
      </c>
      <c r="G7" s="76" t="s">
        <v>166</v>
      </c>
      <c r="H7" s="74" t="s">
        <v>326</v>
      </c>
      <c r="I7" s="79" t="b">
        <v>1</v>
      </c>
      <c r="J7" s="74" t="s">
        <v>42</v>
      </c>
      <c r="K7" s="76" t="s">
        <v>334</v>
      </c>
      <c r="L7" s="86">
        <v>150000</v>
      </c>
      <c r="M7" s="74" t="b">
        <v>1</v>
      </c>
      <c r="N7" s="74"/>
      <c r="O7" s="74"/>
      <c r="P7" s="74" t="b">
        <v>1</v>
      </c>
      <c r="Q7" s="74"/>
      <c r="R7" s="74"/>
      <c r="S7" s="74" t="s">
        <v>327</v>
      </c>
      <c r="T7" s="74">
        <v>777</v>
      </c>
    </row>
    <row r="8" spans="1:20">
      <c r="B8" s="73">
        <f>IF(Companies[[#This Row],[Active]]=TRUE,1,0)</f>
        <v>0</v>
      </c>
      <c r="C8" s="75" t="b">
        <v>0</v>
      </c>
      <c r="D8" s="73" t="s">
        <v>335</v>
      </c>
      <c r="E8" s="76" t="s">
        <v>336</v>
      </c>
      <c r="F8" s="76" t="s">
        <v>52</v>
      </c>
      <c r="G8" s="76" t="s">
        <v>82</v>
      </c>
      <c r="H8" s="74" t="s">
        <v>326</v>
      </c>
      <c r="I8" s="79" t="b">
        <v>1</v>
      </c>
      <c r="J8" s="74" t="s">
        <v>42</v>
      </c>
      <c r="K8" s="76" t="s">
        <v>337</v>
      </c>
      <c r="L8" s="86">
        <v>200000</v>
      </c>
      <c r="M8" s="74" t="b">
        <v>1</v>
      </c>
      <c r="N8" s="74"/>
      <c r="O8" s="74"/>
      <c r="P8" s="74" t="b">
        <v>1</v>
      </c>
      <c r="Q8" s="74"/>
      <c r="R8" s="74"/>
      <c r="S8" s="74" t="s">
        <v>327</v>
      </c>
      <c r="T8" s="74">
        <v>778</v>
      </c>
    </row>
    <row r="9" spans="1:20">
      <c r="B9" s="73">
        <f>IF(Companies[[#This Row],[Active]]=TRUE,1,0)</f>
        <v>0</v>
      </c>
      <c r="C9" s="75" t="b">
        <v>0</v>
      </c>
      <c r="D9" s="73" t="s">
        <v>338</v>
      </c>
      <c r="E9" s="76" t="s">
        <v>303</v>
      </c>
      <c r="F9" s="76" t="s">
        <v>52</v>
      </c>
      <c r="G9" s="76" t="s">
        <v>120</v>
      </c>
      <c r="H9" s="74" t="s">
        <v>326</v>
      </c>
      <c r="I9" s="79" t="b">
        <v>1</v>
      </c>
      <c r="J9" s="74" t="s">
        <v>42</v>
      </c>
      <c r="K9" s="76" t="s">
        <v>339</v>
      </c>
      <c r="L9" s="86">
        <v>75000</v>
      </c>
      <c r="M9" s="74" t="b">
        <v>1</v>
      </c>
      <c r="N9" s="74"/>
      <c r="O9" s="74"/>
      <c r="P9" s="74" t="b">
        <v>1</v>
      </c>
      <c r="Q9" s="74"/>
      <c r="R9" s="74"/>
      <c r="S9" s="74" t="s">
        <v>327</v>
      </c>
      <c r="T9" s="74">
        <v>779</v>
      </c>
    </row>
    <row r="10" spans="1:20">
      <c r="B10" s="73">
        <f>IF(Companies[[#This Row],[Active]]=TRUE,1,0)</f>
        <v>0</v>
      </c>
      <c r="C10" s="75" t="b">
        <v>0</v>
      </c>
      <c r="D10" s="73" t="s">
        <v>340</v>
      </c>
      <c r="E10" s="76" t="s">
        <v>341</v>
      </c>
      <c r="F10" s="76" t="s">
        <v>52</v>
      </c>
      <c r="G10" s="76" t="s">
        <v>157</v>
      </c>
      <c r="H10" s="74" t="s">
        <v>326</v>
      </c>
      <c r="I10" s="79" t="b">
        <v>1</v>
      </c>
      <c r="J10" s="74" t="s">
        <v>42</v>
      </c>
      <c r="K10" s="76" t="s">
        <v>342</v>
      </c>
      <c r="L10" s="86">
        <v>375000</v>
      </c>
      <c r="M10" s="74" t="b">
        <v>1</v>
      </c>
      <c r="N10" s="74"/>
      <c r="O10" s="74"/>
      <c r="P10" s="74" t="b">
        <v>1</v>
      </c>
      <c r="Q10" s="74"/>
      <c r="R10" s="74"/>
      <c r="S10" s="74" t="s">
        <v>327</v>
      </c>
      <c r="T10" s="74">
        <v>780</v>
      </c>
    </row>
    <row r="11" spans="1:20">
      <c r="B11" s="73">
        <f>IF(Companies[[#This Row],[Active]]=TRUE,1,0)</f>
        <v>0</v>
      </c>
      <c r="C11" s="75" t="b">
        <v>0</v>
      </c>
      <c r="D11" s="73" t="s">
        <v>343</v>
      </c>
      <c r="E11" s="76" t="s">
        <v>344</v>
      </c>
      <c r="F11" s="76" t="s">
        <v>52</v>
      </c>
      <c r="G11" s="76" t="s">
        <v>310</v>
      </c>
      <c r="H11" s="74" t="s">
        <v>326</v>
      </c>
      <c r="I11" s="79" t="b">
        <v>1</v>
      </c>
      <c r="J11" s="74" t="s">
        <v>42</v>
      </c>
      <c r="K11" s="76" t="s">
        <v>345</v>
      </c>
      <c r="L11" s="86">
        <v>400000</v>
      </c>
      <c r="M11" s="74" t="b">
        <v>1</v>
      </c>
      <c r="N11" s="74"/>
      <c r="O11" s="74"/>
      <c r="P11" s="74" t="b">
        <v>1</v>
      </c>
      <c r="Q11" s="74"/>
      <c r="R11" s="74"/>
      <c r="S11" s="74" t="s">
        <v>327</v>
      </c>
      <c r="T11" s="74">
        <v>781</v>
      </c>
    </row>
    <row r="12" spans="1:20">
      <c r="B12" s="73">
        <f>IF(Companies[[#This Row],[Active]]=TRUE,1,0)</f>
        <v>0</v>
      </c>
      <c r="C12" s="75" t="b">
        <v>0</v>
      </c>
      <c r="D12" s="73" t="s">
        <v>346</v>
      </c>
      <c r="E12" s="76" t="s">
        <v>347</v>
      </c>
      <c r="F12" s="76" t="s">
        <v>52</v>
      </c>
      <c r="G12" s="76" t="s">
        <v>111</v>
      </c>
      <c r="H12" s="74" t="s">
        <v>326</v>
      </c>
      <c r="I12" s="79" t="b">
        <v>1</v>
      </c>
      <c r="J12" s="74" t="s">
        <v>42</v>
      </c>
      <c r="K12" s="76" t="s">
        <v>348</v>
      </c>
      <c r="L12" s="86">
        <v>1000000</v>
      </c>
      <c r="M12" s="74" t="b">
        <v>1</v>
      </c>
      <c r="N12" s="74"/>
      <c r="O12" s="74"/>
      <c r="P12" s="74" t="b">
        <v>1</v>
      </c>
      <c r="Q12" s="74"/>
      <c r="R12" s="74"/>
      <c r="S12" s="74" t="s">
        <v>327</v>
      </c>
      <c r="T12" s="74">
        <v>782</v>
      </c>
    </row>
    <row r="13" spans="1:20">
      <c r="B13" s="73">
        <f>IF(Companies[[#This Row],[Active]]=TRUE,1,0)</f>
        <v>0</v>
      </c>
      <c r="C13" s="75" t="b">
        <v>0</v>
      </c>
      <c r="D13" s="73" t="s">
        <v>349</v>
      </c>
      <c r="E13" s="76" t="s">
        <v>350</v>
      </c>
      <c r="F13" s="76" t="s">
        <v>52</v>
      </c>
      <c r="G13" s="76" t="s">
        <v>159</v>
      </c>
      <c r="H13" s="74" t="s">
        <v>326</v>
      </c>
      <c r="I13" s="79" t="b">
        <v>1</v>
      </c>
      <c r="J13" s="74" t="s">
        <v>42</v>
      </c>
      <c r="K13" s="76" t="s">
        <v>351</v>
      </c>
      <c r="L13" s="86">
        <v>500000</v>
      </c>
      <c r="M13" s="74" t="b">
        <v>1</v>
      </c>
      <c r="N13" s="74"/>
      <c r="O13" s="74"/>
      <c r="P13" s="74" t="b">
        <v>1</v>
      </c>
      <c r="Q13" s="74"/>
      <c r="R13" s="74"/>
      <c r="S13" s="74" t="s">
        <v>327</v>
      </c>
      <c r="T13" s="74">
        <v>783</v>
      </c>
    </row>
    <row r="14" spans="1:20">
      <c r="B14" s="73">
        <f>IF(Companies[[#This Row],[Active]]=TRUE,1,0)</f>
        <v>0</v>
      </c>
      <c r="C14" s="75" t="b">
        <v>0</v>
      </c>
      <c r="D14" s="73" t="s">
        <v>352</v>
      </c>
      <c r="E14" s="76" t="s">
        <v>353</v>
      </c>
      <c r="F14" s="76" t="s">
        <v>52</v>
      </c>
      <c r="G14" s="76" t="s">
        <v>304</v>
      </c>
      <c r="H14" s="74" t="s">
        <v>326</v>
      </c>
      <c r="I14" s="79" t="b">
        <v>1</v>
      </c>
      <c r="J14" s="74" t="s">
        <v>42</v>
      </c>
      <c r="K14" s="76" t="s">
        <v>354</v>
      </c>
      <c r="L14" s="86">
        <v>50000</v>
      </c>
      <c r="M14" s="74" t="b">
        <v>1</v>
      </c>
      <c r="N14" s="74"/>
      <c r="O14" s="74"/>
      <c r="P14" s="74" t="b">
        <v>1</v>
      </c>
      <c r="Q14" s="74"/>
      <c r="R14" s="74"/>
      <c r="S14" s="74" t="s">
        <v>327</v>
      </c>
      <c r="T14" s="74">
        <v>784</v>
      </c>
    </row>
    <row r="15" spans="1:20">
      <c r="B15" s="73">
        <f>IF(Companies[[#This Row],[Active]]=TRUE,1,0)</f>
        <v>0</v>
      </c>
      <c r="C15" s="75" t="b">
        <v>0</v>
      </c>
      <c r="D15" s="73" t="s">
        <v>355</v>
      </c>
      <c r="E15" s="76" t="s">
        <v>356</v>
      </c>
      <c r="F15" s="76" t="s">
        <v>52</v>
      </c>
      <c r="G15" s="76" t="s">
        <v>306</v>
      </c>
      <c r="H15" s="74" t="s">
        <v>326</v>
      </c>
      <c r="I15" s="79" t="b">
        <v>1</v>
      </c>
      <c r="J15" s="74" t="s">
        <v>42</v>
      </c>
      <c r="K15" s="76" t="s">
        <v>357</v>
      </c>
      <c r="L15" s="86">
        <v>50000</v>
      </c>
      <c r="M15" s="74" t="b">
        <v>1</v>
      </c>
      <c r="N15" s="74"/>
      <c r="O15" s="74"/>
      <c r="P15" s="74" t="b">
        <v>1</v>
      </c>
      <c r="Q15" s="74"/>
      <c r="R15" s="74"/>
      <c r="S15" s="74" t="s">
        <v>327</v>
      </c>
      <c r="T15" s="74">
        <v>785</v>
      </c>
    </row>
    <row r="16" spans="1:20">
      <c r="B16" s="73">
        <f>IF(Companies[[#This Row],[Active]]=TRUE,1,0)</f>
        <v>0</v>
      </c>
      <c r="C16" s="75" t="b">
        <v>0</v>
      </c>
      <c r="D16" s="73" t="s">
        <v>358</v>
      </c>
      <c r="E16" s="76" t="s">
        <v>359</v>
      </c>
      <c r="F16" s="76" t="s">
        <v>52</v>
      </c>
      <c r="G16" s="76" t="s">
        <v>312</v>
      </c>
      <c r="H16" s="74" t="s">
        <v>326</v>
      </c>
      <c r="I16" s="79" t="b">
        <v>1</v>
      </c>
      <c r="J16" s="74" t="s">
        <v>42</v>
      </c>
      <c r="K16" s="76" t="s">
        <v>360</v>
      </c>
      <c r="L16" s="86">
        <v>340000</v>
      </c>
      <c r="M16" s="74" t="b">
        <v>1</v>
      </c>
      <c r="N16" s="74"/>
      <c r="O16" s="74"/>
      <c r="P16" s="74" t="b">
        <v>1</v>
      </c>
      <c r="Q16" s="74"/>
      <c r="R16" s="74"/>
      <c r="S16" s="74" t="s">
        <v>327</v>
      </c>
      <c r="T16" s="74">
        <v>786</v>
      </c>
    </row>
    <row r="17" spans="2:20">
      <c r="B17" s="73">
        <f>IF(Companies[[#This Row],[Active]]=TRUE,1,0)</f>
        <v>0</v>
      </c>
      <c r="C17" s="75" t="b">
        <v>0</v>
      </c>
      <c r="D17" s="73" t="s">
        <v>361</v>
      </c>
      <c r="E17" s="76" t="s">
        <v>362</v>
      </c>
      <c r="F17" s="76" t="s">
        <v>52</v>
      </c>
      <c r="G17" s="76" t="s">
        <v>145</v>
      </c>
      <c r="H17" s="74" t="s">
        <v>326</v>
      </c>
      <c r="I17" s="79" t="b">
        <v>1</v>
      </c>
      <c r="J17" s="74" t="s">
        <v>42</v>
      </c>
      <c r="K17" s="76" t="s">
        <v>363</v>
      </c>
      <c r="L17" s="86">
        <v>400000</v>
      </c>
      <c r="M17" s="74" t="b">
        <v>1</v>
      </c>
      <c r="N17" s="74"/>
      <c r="O17" s="74"/>
      <c r="P17" s="74" t="b">
        <v>1</v>
      </c>
      <c r="Q17" s="74"/>
      <c r="R17" s="74"/>
      <c r="S17" s="74" t="s">
        <v>327</v>
      </c>
      <c r="T17" s="74">
        <v>787</v>
      </c>
    </row>
    <row r="18" spans="2:20">
      <c r="B18" s="73">
        <f>IF(Companies[[#This Row],[Active]]=TRUE,1,0)</f>
        <v>0</v>
      </c>
      <c r="C18" s="75" t="b">
        <v>0</v>
      </c>
      <c r="D18" s="73" t="s">
        <v>364</v>
      </c>
      <c r="E18" s="76" t="s">
        <v>365</v>
      </c>
      <c r="F18" s="76" t="s">
        <v>52</v>
      </c>
      <c r="G18" s="76" t="s">
        <v>151</v>
      </c>
      <c r="H18" s="74" t="s">
        <v>326</v>
      </c>
      <c r="I18" s="79" t="b">
        <v>1</v>
      </c>
      <c r="J18" s="74" t="s">
        <v>42</v>
      </c>
      <c r="K18" s="76" t="s">
        <v>366</v>
      </c>
      <c r="L18" s="86">
        <v>75000</v>
      </c>
      <c r="M18" s="74" t="b">
        <v>1</v>
      </c>
      <c r="N18" s="74"/>
      <c r="O18" s="74"/>
      <c r="P18" s="74" t="b">
        <v>1</v>
      </c>
      <c r="Q18" s="74"/>
      <c r="R18" s="74"/>
      <c r="S18" s="74" t="s">
        <v>327</v>
      </c>
      <c r="T18" s="74">
        <v>788</v>
      </c>
    </row>
    <row r="19" spans="2:20">
      <c r="B19" s="73">
        <f>IF(Companies[[#This Row],[Active]]=TRUE,1,0)</f>
        <v>0</v>
      </c>
      <c r="C19" s="75" t="b">
        <v>0</v>
      </c>
      <c r="D19" s="73" t="s">
        <v>367</v>
      </c>
      <c r="E19" s="76" t="s">
        <v>368</v>
      </c>
      <c r="F19" s="76" t="s">
        <v>52</v>
      </c>
      <c r="G19" s="76" t="s">
        <v>308</v>
      </c>
      <c r="H19" s="74" t="s">
        <v>326</v>
      </c>
      <c r="I19" s="79" t="b">
        <v>1</v>
      </c>
      <c r="J19" s="74" t="s">
        <v>42</v>
      </c>
      <c r="K19" s="76" t="s">
        <v>369</v>
      </c>
      <c r="L19" s="86">
        <v>70000</v>
      </c>
      <c r="M19" s="74" t="b">
        <v>1</v>
      </c>
      <c r="N19" s="74"/>
      <c r="O19" s="74"/>
      <c r="P19" s="74" t="b">
        <v>1</v>
      </c>
      <c r="Q19" s="74"/>
      <c r="R19" s="74"/>
      <c r="S19" s="74" t="s">
        <v>327</v>
      </c>
      <c r="T19" s="74">
        <v>789</v>
      </c>
    </row>
    <row r="20" spans="2:20">
      <c r="B20" s="73">
        <f>IF(Companies[[#This Row],[Active]]=TRUE,1,0)</f>
        <v>0</v>
      </c>
      <c r="C20" s="75" t="b">
        <v>0</v>
      </c>
      <c r="D20" s="73" t="s">
        <v>333</v>
      </c>
      <c r="E20" s="76" t="s">
        <v>594</v>
      </c>
      <c r="F20" s="76" t="s">
        <v>52</v>
      </c>
      <c r="G20" s="76" t="s">
        <v>151</v>
      </c>
      <c r="H20" s="74" t="s">
        <v>326</v>
      </c>
      <c r="I20" s="79" t="b">
        <v>1</v>
      </c>
      <c r="J20" s="74" t="s">
        <v>42</v>
      </c>
      <c r="K20" s="76" t="s">
        <v>595</v>
      </c>
      <c r="L20" s="86"/>
      <c r="M20" s="74" t="b">
        <v>1</v>
      </c>
      <c r="N20" s="74"/>
      <c r="O20" s="74"/>
      <c r="P20" s="74" t="b">
        <v>0</v>
      </c>
      <c r="Q20" s="74"/>
      <c r="R20" s="74"/>
      <c r="S20" s="74" t="s">
        <v>327</v>
      </c>
      <c r="T20" s="74">
        <v>790</v>
      </c>
    </row>
    <row r="21" spans="2:20">
      <c r="B21" s="73">
        <f>IF(Companies[[#This Row],[Active]]=TRUE,1,0)</f>
        <v>0</v>
      </c>
      <c r="C21" s="75" t="b">
        <v>0</v>
      </c>
      <c r="D21" s="73" t="s">
        <v>333</v>
      </c>
      <c r="E21" s="76" t="s">
        <v>596</v>
      </c>
      <c r="F21" s="76" t="s">
        <v>52</v>
      </c>
      <c r="G21" s="76" t="s">
        <v>157</v>
      </c>
      <c r="H21" s="74" t="s">
        <v>326</v>
      </c>
      <c r="I21" s="79" t="b">
        <v>1</v>
      </c>
      <c r="J21" s="74" t="s">
        <v>42</v>
      </c>
      <c r="K21" s="76" t="s">
        <v>342</v>
      </c>
      <c r="L21" s="86">
        <v>375000</v>
      </c>
      <c r="M21" s="74" t="b">
        <v>1</v>
      </c>
      <c r="N21" s="74"/>
      <c r="O21" s="74"/>
      <c r="P21" s="74" t="b">
        <v>1</v>
      </c>
      <c r="Q21" s="74"/>
      <c r="R21" s="74"/>
      <c r="S21" s="74" t="s">
        <v>327</v>
      </c>
      <c r="T21" s="74">
        <v>801</v>
      </c>
    </row>
    <row r="22" spans="2:20">
      <c r="B22" s="73">
        <f>IF(Companies[[#This Row],[Active]]=TRUE,1,0)</f>
        <v>0</v>
      </c>
      <c r="C22" s="75" t="b">
        <v>0</v>
      </c>
      <c r="D22" s="73" t="s">
        <v>335</v>
      </c>
      <c r="E22" s="76" t="s">
        <v>597</v>
      </c>
      <c r="F22" s="76" t="s">
        <v>52</v>
      </c>
      <c r="G22" s="76" t="s">
        <v>310</v>
      </c>
      <c r="H22" s="74" t="s">
        <v>326</v>
      </c>
      <c r="I22" s="79" t="b">
        <v>1</v>
      </c>
      <c r="J22" s="74" t="s">
        <v>42</v>
      </c>
      <c r="K22" s="76" t="s">
        <v>345</v>
      </c>
      <c r="L22" s="86">
        <v>400000</v>
      </c>
      <c r="M22" s="74" t="b">
        <v>1</v>
      </c>
      <c r="N22" s="74"/>
      <c r="O22" s="74"/>
      <c r="P22" s="74" t="b">
        <v>1</v>
      </c>
      <c r="Q22" s="74"/>
      <c r="R22" s="74"/>
      <c r="S22" s="74" t="s">
        <v>327</v>
      </c>
      <c r="T22" s="74">
        <v>802</v>
      </c>
    </row>
    <row r="23" spans="2:20">
      <c r="B23" s="73">
        <f>IF(Companies[[#This Row],[Active]]=TRUE,1,0)</f>
        <v>0</v>
      </c>
      <c r="C23" s="75" t="b">
        <v>0</v>
      </c>
      <c r="D23" s="73" t="s">
        <v>338</v>
      </c>
      <c r="E23" s="76" t="s">
        <v>598</v>
      </c>
      <c r="F23" s="76" t="s">
        <v>52</v>
      </c>
      <c r="G23" s="76" t="s">
        <v>82</v>
      </c>
      <c r="H23" s="74" t="s">
        <v>326</v>
      </c>
      <c r="I23" s="79" t="b">
        <v>1</v>
      </c>
      <c r="J23" s="74" t="s">
        <v>42</v>
      </c>
      <c r="K23" s="76" t="s">
        <v>348</v>
      </c>
      <c r="L23" s="86">
        <v>1000000</v>
      </c>
      <c r="M23" s="74" t="b">
        <v>1</v>
      </c>
      <c r="N23" s="74"/>
      <c r="O23" s="74"/>
      <c r="P23" s="74" t="b">
        <v>1</v>
      </c>
      <c r="Q23" s="74"/>
      <c r="R23" s="74"/>
      <c r="S23" s="74" t="s">
        <v>327</v>
      </c>
      <c r="T23" s="74">
        <v>803</v>
      </c>
    </row>
    <row r="24" spans="2:20">
      <c r="B24" s="73">
        <f>IF(Companies[[#This Row],[Active]]=TRUE,1,0)</f>
        <v>0</v>
      </c>
      <c r="C24" s="75" t="b">
        <v>0</v>
      </c>
      <c r="D24" s="73" t="s">
        <v>333</v>
      </c>
      <c r="E24" s="76" t="s">
        <v>146</v>
      </c>
      <c r="F24" s="76" t="s">
        <v>52</v>
      </c>
      <c r="G24" s="76" t="s">
        <v>145</v>
      </c>
      <c r="H24" s="74" t="s">
        <v>326</v>
      </c>
      <c r="I24" s="79" t="b">
        <v>1</v>
      </c>
      <c r="J24" s="74" t="s">
        <v>42</v>
      </c>
      <c r="K24" s="76" t="s">
        <v>642</v>
      </c>
      <c r="L24" s="86">
        <v>300000</v>
      </c>
      <c r="M24" s="74" t="b">
        <v>1</v>
      </c>
      <c r="N24" s="74"/>
      <c r="O24" s="74"/>
      <c r="P24" s="74" t="b">
        <v>1</v>
      </c>
      <c r="Q24" s="74"/>
      <c r="R24" s="74"/>
      <c r="S24" s="74" t="s">
        <v>327</v>
      </c>
      <c r="T24" s="74">
        <v>804</v>
      </c>
    </row>
    <row r="25" spans="2:20">
      <c r="B25" s="73">
        <f>IF(Companies[[#This Row],[Active]]=TRUE,1,0)</f>
        <v>0</v>
      </c>
      <c r="C25" s="75" t="b">
        <v>0</v>
      </c>
      <c r="D25" s="73" t="s">
        <v>333</v>
      </c>
      <c r="E25" s="76" t="s">
        <v>643</v>
      </c>
      <c r="F25" s="76" t="s">
        <v>52</v>
      </c>
      <c r="G25" s="76" t="s">
        <v>111</v>
      </c>
      <c r="H25" s="74" t="s">
        <v>326</v>
      </c>
      <c r="I25" s="79" t="b">
        <v>1</v>
      </c>
      <c r="J25" s="74" t="s">
        <v>42</v>
      </c>
      <c r="K25" s="76" t="s">
        <v>642</v>
      </c>
      <c r="L25" s="86">
        <v>0</v>
      </c>
      <c r="M25" s="74" t="b">
        <v>1</v>
      </c>
      <c r="N25" s="74"/>
      <c r="O25" s="74"/>
      <c r="P25" s="74" t="b">
        <v>1</v>
      </c>
      <c r="Q25" s="74"/>
      <c r="R25" s="74"/>
      <c r="S25" s="74" t="s">
        <v>327</v>
      </c>
      <c r="T25" s="74">
        <v>805</v>
      </c>
    </row>
    <row r="26" spans="2:20">
      <c r="B26" s="73">
        <f>IF(Companies[[#This Row],[Active]]=TRUE,1,0)</f>
        <v>0</v>
      </c>
      <c r="C26" s="75" t="b">
        <v>0</v>
      </c>
      <c r="D26" s="73" t="s">
        <v>335</v>
      </c>
      <c r="E26" s="76" t="s">
        <v>311</v>
      </c>
      <c r="F26" s="76" t="s">
        <v>52</v>
      </c>
      <c r="G26" s="76" t="s">
        <v>310</v>
      </c>
      <c r="H26" s="74" t="s">
        <v>326</v>
      </c>
      <c r="I26" s="79" t="b">
        <v>1</v>
      </c>
      <c r="J26" s="74" t="s">
        <v>42</v>
      </c>
      <c r="K26" s="76" t="s">
        <v>644</v>
      </c>
      <c r="L26" s="86">
        <v>400000</v>
      </c>
      <c r="M26" s="74" t="b">
        <v>1</v>
      </c>
      <c r="N26" s="74"/>
      <c r="O26" s="74"/>
      <c r="P26" s="74" t="b">
        <v>1</v>
      </c>
      <c r="Q26" s="74"/>
      <c r="R26" s="74"/>
      <c r="S26" s="74" t="s">
        <v>327</v>
      </c>
      <c r="T26" s="74">
        <v>806</v>
      </c>
    </row>
    <row r="27" spans="2:20">
      <c r="B27" s="73">
        <f>IF(Companies[[#This Row],[Active]]=TRUE,1,0)</f>
        <v>0</v>
      </c>
      <c r="C27" s="75" t="b">
        <v>0</v>
      </c>
      <c r="D27" s="73" t="s">
        <v>338</v>
      </c>
      <c r="E27" s="76" t="s">
        <v>605</v>
      </c>
      <c r="F27" s="76" t="s">
        <v>52</v>
      </c>
      <c r="G27" s="76" t="s">
        <v>298</v>
      </c>
      <c r="H27" s="74" t="s">
        <v>326</v>
      </c>
      <c r="I27" s="79" t="b">
        <v>1</v>
      </c>
      <c r="J27" s="74" t="s">
        <v>42</v>
      </c>
      <c r="K27" s="76" t="s">
        <v>645</v>
      </c>
      <c r="L27" s="86">
        <v>0</v>
      </c>
      <c r="M27" s="74" t="b">
        <v>1</v>
      </c>
      <c r="N27" s="74"/>
      <c r="O27" s="74"/>
      <c r="P27" s="74" t="b">
        <v>1</v>
      </c>
      <c r="Q27" s="74"/>
      <c r="R27" s="74"/>
      <c r="S27" s="74" t="s">
        <v>327</v>
      </c>
      <c r="T27" s="74">
        <v>807</v>
      </c>
    </row>
    <row r="28" spans="2:20">
      <c r="B28" s="73">
        <f>IF(Companies[[#This Row],[Active]]=TRUE,1,0)</f>
        <v>0</v>
      </c>
      <c r="C28" s="75" t="b">
        <v>0</v>
      </c>
      <c r="D28" s="73" t="s">
        <v>343</v>
      </c>
      <c r="E28" s="76" t="s">
        <v>646</v>
      </c>
      <c r="F28" s="76" t="s">
        <v>52</v>
      </c>
      <c r="G28" s="76" t="s">
        <v>159</v>
      </c>
      <c r="H28" s="74" t="s">
        <v>326</v>
      </c>
      <c r="I28" s="79" t="b">
        <v>1</v>
      </c>
      <c r="J28" s="74" t="s">
        <v>42</v>
      </c>
      <c r="K28" s="76" t="s">
        <v>342</v>
      </c>
      <c r="L28" s="86">
        <v>0</v>
      </c>
      <c r="M28" s="74" t="b">
        <v>1</v>
      </c>
      <c r="N28" s="74"/>
      <c r="O28" s="74"/>
      <c r="P28" s="74" t="b">
        <v>1</v>
      </c>
      <c r="Q28" s="74"/>
      <c r="R28" s="74"/>
      <c r="S28" s="74" t="s">
        <v>327</v>
      </c>
      <c r="T28" s="74">
        <v>808</v>
      </c>
    </row>
    <row r="29" spans="2:20">
      <c r="B29" s="73">
        <f>IF(Companies[[#This Row],[Active]]=TRUE,1,0)</f>
        <v>0</v>
      </c>
      <c r="C29" s="75" t="b">
        <v>0</v>
      </c>
      <c r="D29" s="73" t="s">
        <v>343</v>
      </c>
      <c r="E29" s="76" t="s">
        <v>158</v>
      </c>
      <c r="F29" s="76" t="s">
        <v>52</v>
      </c>
      <c r="G29" s="76" t="s">
        <v>157</v>
      </c>
      <c r="H29" s="74" t="s">
        <v>326</v>
      </c>
      <c r="I29" s="79" t="b">
        <v>1</v>
      </c>
      <c r="J29" s="74" t="s">
        <v>42</v>
      </c>
      <c r="K29" s="76" t="s">
        <v>342</v>
      </c>
      <c r="L29" s="86">
        <v>450000</v>
      </c>
      <c r="M29" s="74" t="b">
        <v>1</v>
      </c>
      <c r="N29" s="74"/>
      <c r="O29" s="74"/>
      <c r="P29" s="74" t="b">
        <v>1</v>
      </c>
      <c r="Q29" s="74"/>
      <c r="R29" s="74"/>
      <c r="S29" s="74" t="s">
        <v>327</v>
      </c>
      <c r="T29" s="74">
        <v>809</v>
      </c>
    </row>
    <row r="30" spans="2:20">
      <c r="B30" s="73">
        <f>IF(Companies[[#This Row],[Active]]=TRUE,1,0)</f>
        <v>0</v>
      </c>
      <c r="C30" s="75" t="b">
        <v>0</v>
      </c>
      <c r="D30" s="73" t="s">
        <v>340</v>
      </c>
      <c r="E30" s="76" t="s">
        <v>158</v>
      </c>
      <c r="F30" s="76" t="s">
        <v>52</v>
      </c>
      <c r="G30" s="76" t="s">
        <v>157</v>
      </c>
      <c r="H30" s="74" t="s">
        <v>326</v>
      </c>
      <c r="I30" s="79" t="b">
        <v>1</v>
      </c>
      <c r="J30" s="74" t="s">
        <v>42</v>
      </c>
      <c r="K30" s="76" t="s">
        <v>647</v>
      </c>
      <c r="L30" s="86">
        <v>500000</v>
      </c>
      <c r="M30" s="74" t="b">
        <v>1</v>
      </c>
      <c r="N30" s="74"/>
      <c r="O30" s="74"/>
      <c r="P30" s="74" t="b">
        <v>1</v>
      </c>
      <c r="Q30" s="74"/>
      <c r="R30" s="74"/>
      <c r="S30" s="74" t="s">
        <v>327</v>
      </c>
      <c r="T30" s="74">
        <v>810</v>
      </c>
    </row>
    <row r="31" spans="2:20">
      <c r="B31" s="73">
        <f>IF(Companies[[#This Row],[Active]]=TRUE,1,0)</f>
        <v>0</v>
      </c>
      <c r="C31" s="75" t="b">
        <v>0</v>
      </c>
      <c r="D31" s="73" t="s">
        <v>349</v>
      </c>
      <c r="E31" s="76" t="s">
        <v>311</v>
      </c>
      <c r="F31" s="76" t="s">
        <v>52</v>
      </c>
      <c r="G31" s="76" t="s">
        <v>310</v>
      </c>
      <c r="H31" s="74" t="s">
        <v>326</v>
      </c>
      <c r="I31" s="79" t="b">
        <v>1</v>
      </c>
      <c r="J31" s="74" t="s">
        <v>42</v>
      </c>
      <c r="K31" s="76" t="s">
        <v>648</v>
      </c>
      <c r="L31" s="86">
        <v>350000</v>
      </c>
      <c r="M31" s="74" t="b">
        <v>1</v>
      </c>
      <c r="N31" s="74"/>
      <c r="O31" s="74"/>
      <c r="P31" s="74" t="b">
        <v>1</v>
      </c>
      <c r="Q31" s="74"/>
      <c r="R31" s="74"/>
      <c r="S31" s="74" t="s">
        <v>327</v>
      </c>
      <c r="T31" s="74">
        <v>811</v>
      </c>
    </row>
    <row r="32" spans="2:20">
      <c r="B32" s="73">
        <f>IF(Companies[[#This Row],[Active]]=TRUE,1,0)</f>
        <v>0</v>
      </c>
      <c r="C32" s="75" t="b">
        <v>0</v>
      </c>
      <c r="D32" s="73" t="s">
        <v>361</v>
      </c>
      <c r="E32" s="76" t="s">
        <v>307</v>
      </c>
      <c r="F32" s="76" t="s">
        <v>52</v>
      </c>
      <c r="G32" s="76" t="s">
        <v>306</v>
      </c>
      <c r="H32" s="74" t="s">
        <v>326</v>
      </c>
      <c r="I32" s="79" t="b">
        <v>1</v>
      </c>
      <c r="J32" s="74" t="s">
        <v>42</v>
      </c>
      <c r="K32" s="76" t="s">
        <v>357</v>
      </c>
      <c r="L32" s="86">
        <v>100000</v>
      </c>
      <c r="M32" s="74" t="b">
        <v>1</v>
      </c>
      <c r="N32" s="74"/>
      <c r="O32" s="74"/>
      <c r="P32" s="74" t="b">
        <v>1</v>
      </c>
      <c r="Q32" s="74"/>
      <c r="R32" s="74"/>
      <c r="S32" s="74" t="s">
        <v>327</v>
      </c>
      <c r="T32" s="74">
        <v>812</v>
      </c>
    </row>
    <row r="33" spans="2:20">
      <c r="B33" s="73">
        <f>IF(Companies[[#This Row],[Active]]=TRUE,1,0)</f>
        <v>1</v>
      </c>
      <c r="C33" s="75" t="b">
        <v>1</v>
      </c>
      <c r="D33" s="73" t="s">
        <v>763</v>
      </c>
      <c r="E33" s="76" t="s">
        <v>764</v>
      </c>
      <c r="F33" s="76" t="s">
        <v>52</v>
      </c>
      <c r="G33" s="76" t="s">
        <v>765</v>
      </c>
      <c r="H33" s="74" t="s">
        <v>326</v>
      </c>
      <c r="I33" s="79" t="b">
        <v>1</v>
      </c>
      <c r="J33" s="74" t="s">
        <v>42</v>
      </c>
      <c r="K33" s="76"/>
      <c r="L33" s="86">
        <v>0</v>
      </c>
      <c r="M33" s="74" t="b">
        <v>1</v>
      </c>
      <c r="N33" s="74"/>
      <c r="O33" s="74"/>
      <c r="P33" s="74" t="b">
        <v>0</v>
      </c>
      <c r="Q33" s="74"/>
      <c r="R33" s="74"/>
      <c r="S33" s="74" t="s">
        <v>327</v>
      </c>
      <c r="T33" s="74">
        <v>813</v>
      </c>
    </row>
    <row r="34" spans="2:20">
      <c r="B34" s="73">
        <f>IF(Companies[[#This Row],[Active]]=TRUE,1,0)</f>
        <v>1</v>
      </c>
      <c r="C34" s="75" t="b">
        <v>1</v>
      </c>
      <c r="D34" s="73" t="s">
        <v>766</v>
      </c>
      <c r="E34" s="76" t="s">
        <v>767</v>
      </c>
      <c r="F34" s="76" t="s">
        <v>603</v>
      </c>
      <c r="G34" s="76" t="s">
        <v>765</v>
      </c>
      <c r="H34" s="74" t="s">
        <v>326</v>
      </c>
      <c r="I34" s="79" t="b">
        <v>1</v>
      </c>
      <c r="J34" s="74" t="s">
        <v>42</v>
      </c>
      <c r="K34" s="76"/>
      <c r="L34" s="86">
        <v>0</v>
      </c>
      <c r="M34" s="74" t="b">
        <v>1</v>
      </c>
      <c r="N34" s="74"/>
      <c r="O34" s="74"/>
      <c r="P34" s="74" t="b">
        <v>0</v>
      </c>
      <c r="Q34" s="74"/>
      <c r="R34" s="74"/>
      <c r="S34" s="74" t="s">
        <v>327</v>
      </c>
      <c r="T34" s="74">
        <v>814</v>
      </c>
    </row>
    <row r="35" spans="2:20">
      <c r="B35" s="73">
        <f>IF(Companies[[#This Row],[Active]]=TRUE,1,0)</f>
        <v>1</v>
      </c>
      <c r="C35" s="75" t="b">
        <v>1</v>
      </c>
      <c r="D35" s="73" t="s">
        <v>768</v>
      </c>
      <c r="E35" s="76" t="s">
        <v>769</v>
      </c>
      <c r="F35" s="76" t="s">
        <v>694</v>
      </c>
      <c r="G35" s="76" t="s">
        <v>765</v>
      </c>
      <c r="H35" s="74" t="s">
        <v>326</v>
      </c>
      <c r="I35" s="79" t="b">
        <v>1</v>
      </c>
      <c r="J35" s="74" t="s">
        <v>42</v>
      </c>
      <c r="K35" s="76"/>
      <c r="L35" s="86">
        <v>0</v>
      </c>
      <c r="M35" s="74" t="b">
        <v>1</v>
      </c>
      <c r="N35" s="74"/>
      <c r="O35" s="74"/>
      <c r="P35" s="74" t="b">
        <v>0</v>
      </c>
      <c r="Q35" s="74"/>
      <c r="R35" s="74"/>
      <c r="S35" s="74" t="s">
        <v>327</v>
      </c>
      <c r="T35" s="74">
        <v>815</v>
      </c>
    </row>
    <row r="36" spans="2:20">
      <c r="B36" s="73">
        <f>IF(Companies[[#This Row],[Active]]=TRUE,1,0)</f>
        <v>1</v>
      </c>
      <c r="C36" s="75" t="b">
        <v>1</v>
      </c>
      <c r="D36" s="73" t="s">
        <v>770</v>
      </c>
      <c r="E36" s="76" t="s">
        <v>771</v>
      </c>
      <c r="F36" s="76" t="s">
        <v>696</v>
      </c>
      <c r="G36" s="76" t="s">
        <v>765</v>
      </c>
      <c r="H36" s="74" t="s">
        <v>326</v>
      </c>
      <c r="I36" s="79" t="b">
        <v>1</v>
      </c>
      <c r="J36" s="74" t="s">
        <v>42</v>
      </c>
      <c r="K36" s="76"/>
      <c r="L36" s="86">
        <v>0</v>
      </c>
      <c r="M36" s="74" t="b">
        <v>1</v>
      </c>
      <c r="N36" s="74"/>
      <c r="O36" s="74"/>
      <c r="P36" s="74" t="b">
        <v>0</v>
      </c>
      <c r="Q36" s="74"/>
      <c r="R36" s="74"/>
      <c r="S36" s="74" t="s">
        <v>327</v>
      </c>
      <c r="T36" s="74">
        <v>816</v>
      </c>
    </row>
    <row r="37" spans="2:20">
      <c r="B37" s="73">
        <f>IF(Companies[[#This Row],[Active]]=TRUE,1,0)</f>
        <v>1</v>
      </c>
      <c r="C37" s="75" t="b">
        <v>1</v>
      </c>
      <c r="D37" s="73" t="s">
        <v>772</v>
      </c>
      <c r="E37" s="76" t="s">
        <v>773</v>
      </c>
      <c r="F37" s="76" t="s">
        <v>698</v>
      </c>
      <c r="G37" s="76" t="s">
        <v>765</v>
      </c>
      <c r="H37" s="74" t="s">
        <v>326</v>
      </c>
      <c r="I37" s="79" t="b">
        <v>1</v>
      </c>
      <c r="J37" s="74" t="s">
        <v>42</v>
      </c>
      <c r="K37" s="76"/>
      <c r="L37" s="86">
        <v>0</v>
      </c>
      <c r="M37" s="74" t="b">
        <v>1</v>
      </c>
      <c r="N37" s="74"/>
      <c r="O37" s="74"/>
      <c r="P37" s="74" t="b">
        <v>0</v>
      </c>
      <c r="Q37" s="74"/>
      <c r="R37" s="74"/>
      <c r="S37" s="74" t="s">
        <v>327</v>
      </c>
      <c r="T37" s="74">
        <v>817</v>
      </c>
    </row>
    <row r="38" spans="2:20">
      <c r="B38" s="73">
        <f>IF(Companies[[#This Row],[Active]]=TRUE,1,0)</f>
        <v>1</v>
      </c>
      <c r="C38" s="75" t="b">
        <v>1</v>
      </c>
      <c r="D38" s="73" t="s">
        <v>774</v>
      </c>
      <c r="E38" s="76" t="s">
        <v>775</v>
      </c>
      <c r="F38" s="76" t="s">
        <v>704</v>
      </c>
      <c r="G38" s="76" t="s">
        <v>765</v>
      </c>
      <c r="H38" s="74" t="s">
        <v>326</v>
      </c>
      <c r="I38" s="79" t="b">
        <v>1</v>
      </c>
      <c r="J38" s="74" t="s">
        <v>42</v>
      </c>
      <c r="K38" s="76"/>
      <c r="L38" s="86">
        <v>0</v>
      </c>
      <c r="M38" s="74" t="b">
        <v>1</v>
      </c>
      <c r="N38" s="74"/>
      <c r="O38" s="74"/>
      <c r="P38" s="74" t="b">
        <v>0</v>
      </c>
      <c r="Q38" s="74"/>
      <c r="R38" s="74"/>
      <c r="S38" s="74" t="s">
        <v>327</v>
      </c>
      <c r="T38" s="74">
        <v>818</v>
      </c>
    </row>
  </sheetData>
  <dataConsolidate/>
  <mergeCells count="1">
    <mergeCell ref="B2:G2"/>
  </mergeCells>
  <conditionalFormatting sqref="B5:S38">
    <cfRule type="expression" dxfId="40" priority="1">
      <formula>$C5 = FALSE</formula>
    </cfRule>
  </conditionalFormatting>
  <conditionalFormatting sqref="M5:M38 P5:P38 I5:I38 C5:C38">
    <cfRule type="containsText" dxfId="39" priority="2" operator="containsText" text="TRUE">
      <formula>NOT(ISERROR(SEARCH("TRUE",C5)))</formula>
    </cfRule>
    <cfRule type="containsText" dxfId="38" priority="3" operator="containsText" text="FALSE">
      <formula>NOT(ISERROR(SEARCH("FALSE",C5)))</formula>
    </cfRule>
  </conditionalFormatting>
  <dataValidations count="2">
    <dataValidation type="list" allowBlank="1" showInputMessage="1" showErrorMessage="1" sqref="P5:P38 M5:M38 I5:I38 C5:C38">
      <formula1>"TRUE, FALSE"</formula1>
    </dataValidation>
    <dataValidation type="list" allowBlank="1" showInputMessage="1" showErrorMessage="1" sqref="S5:S38">
      <formula1>"ALLOW, DENY"</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4" id="{B89444CB-C5AE-4015-A2B3-485132144AB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35"/>
  <sheetViews>
    <sheetView showGridLines="0" topLeftCell="A2" zoomScaleNormal="100" workbookViewId="0">
      <pane xSplit="1" ySplit="3" topLeftCell="B20" activePane="bottomRight" state="frozen"/>
      <selection activeCell="J37" sqref="J37"/>
      <selection pane="topRight" activeCell="J37" sqref="J37"/>
      <selection pane="bottomLeft" activeCell="J37" sqref="J37"/>
      <selection pane="bottomRight" activeCell="J37" sqref="J37"/>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36.7109375" bestFit="1" customWidth="1"/>
    <col min="6" max="6" width="13.140625" bestFit="1" customWidth="1"/>
    <col min="7" max="7" width="10.7109375" bestFit="1" customWidth="1"/>
    <col min="8" max="8" width="7.42578125" hidden="1" customWidth="1"/>
    <col min="9" max="9" width="9.140625" bestFit="1" customWidth="1"/>
    <col min="10" max="10" width="9.42578125" bestFit="1" customWidth="1"/>
    <col min="11" max="11" width="14.28515625" bestFit="1" customWidth="1"/>
    <col min="12" max="12" width="13.42578125" bestFit="1" customWidth="1"/>
    <col min="13" max="13" width="16.28515625" bestFit="1" customWidth="1"/>
    <col min="14" max="14" width="15.140625" bestFit="1" customWidth="1"/>
    <col min="15" max="15" width="15.85546875" customWidth="1"/>
    <col min="16" max="16" width="7.42578125" customWidth="1"/>
  </cols>
  <sheetData>
    <row r="1" spans="1:14" ht="74.25" hidden="1" customHeight="1">
      <c r="A1" s="16"/>
      <c r="N1">
        <v>52</v>
      </c>
    </row>
    <row r="2" spans="1:14" s="5" customFormat="1" ht="29.25" customHeight="1" thickBot="1">
      <c r="A2" s="27"/>
      <c r="B2" s="101" t="s">
        <v>43</v>
      </c>
      <c r="C2" s="101"/>
      <c r="D2" s="101"/>
      <c r="E2" s="101"/>
      <c r="F2" s="101"/>
      <c r="G2" s="101"/>
    </row>
    <row r="3" spans="1:14" s="4" customFormat="1" ht="9" customHeight="1" thickTop="1">
      <c r="A3" s="27"/>
      <c r="C3" s="24"/>
    </row>
    <row r="4" spans="1:14" s="13" customFormat="1" ht="15" customHeight="1">
      <c r="A4" s="27"/>
      <c r="B4" s="20" t="s">
        <v>11</v>
      </c>
      <c r="C4" s="19" t="s">
        <v>1</v>
      </c>
      <c r="D4" s="19" t="s">
        <v>0</v>
      </c>
      <c r="E4" s="19" t="s">
        <v>3</v>
      </c>
      <c r="F4" s="19" t="s">
        <v>142</v>
      </c>
      <c r="G4" s="19" t="s">
        <v>51</v>
      </c>
      <c r="H4" s="19" t="s">
        <v>20</v>
      </c>
    </row>
    <row r="5" spans="1:14">
      <c r="A5" s="28"/>
      <c r="B5" s="32">
        <f>IF(FacilityType[[#This Row],[Active]]=TRUE,1,0)</f>
        <v>1</v>
      </c>
      <c r="C5" s="33" t="b">
        <v>1</v>
      </c>
      <c r="D5" s="31" t="s">
        <v>143</v>
      </c>
      <c r="E5" s="50" t="s">
        <v>144</v>
      </c>
      <c r="F5" s="31">
        <v>6</v>
      </c>
      <c r="G5" s="63"/>
      <c r="H5" s="64">
        <v>481</v>
      </c>
    </row>
    <row r="6" spans="1:14">
      <c r="B6" s="73">
        <f>IF(FacilityType[[#This Row],[Active]]=TRUE,1,0)</f>
        <v>1</v>
      </c>
      <c r="C6" s="75" t="b">
        <v>1</v>
      </c>
      <c r="D6" s="73" t="s">
        <v>145</v>
      </c>
      <c r="E6" s="76" t="s">
        <v>146</v>
      </c>
      <c r="F6" s="73">
        <v>3</v>
      </c>
      <c r="G6" s="78"/>
      <c r="H6" s="78">
        <v>482</v>
      </c>
    </row>
    <row r="7" spans="1:14">
      <c r="B7" s="73">
        <f>IF(FacilityType[[#This Row],[Active]]=TRUE,1,0)</f>
        <v>1</v>
      </c>
      <c r="C7" s="75" t="b">
        <v>1</v>
      </c>
      <c r="D7" s="73" t="s">
        <v>147</v>
      </c>
      <c r="E7" s="76" t="s">
        <v>148</v>
      </c>
      <c r="F7" s="73">
        <v>8</v>
      </c>
      <c r="G7" s="78"/>
      <c r="H7" s="78">
        <v>483</v>
      </c>
    </row>
    <row r="8" spans="1:14">
      <c r="B8" s="73">
        <f>IF(FacilityType[[#This Row],[Active]]=TRUE,1,0)</f>
        <v>1</v>
      </c>
      <c r="C8" s="75" t="b">
        <v>1</v>
      </c>
      <c r="D8" s="73" t="s">
        <v>149</v>
      </c>
      <c r="E8" s="76" t="s">
        <v>150</v>
      </c>
      <c r="F8" s="73">
        <v>2</v>
      </c>
      <c r="G8" s="78"/>
      <c r="H8" s="78">
        <v>484</v>
      </c>
    </row>
    <row r="9" spans="1:14">
      <c r="B9" s="73">
        <f>IF(FacilityType[[#This Row],[Active]]=TRUE,1,0)</f>
        <v>1</v>
      </c>
      <c r="C9" s="75" t="b">
        <v>1</v>
      </c>
      <c r="D9" s="73" t="s">
        <v>151</v>
      </c>
      <c r="E9" s="76" t="s">
        <v>152</v>
      </c>
      <c r="F9" s="73">
        <v>8</v>
      </c>
      <c r="G9" s="78"/>
      <c r="H9" s="78">
        <v>485</v>
      </c>
    </row>
    <row r="10" spans="1:14">
      <c r="B10" s="73">
        <f>IF(FacilityType[[#This Row],[Active]]=TRUE,1,0)</f>
        <v>1</v>
      </c>
      <c r="C10" s="75" t="b">
        <v>1</v>
      </c>
      <c r="D10" s="73" t="s">
        <v>153</v>
      </c>
      <c r="E10" s="76" t="s">
        <v>154</v>
      </c>
      <c r="F10" s="73">
        <v>8</v>
      </c>
      <c r="G10" s="78"/>
      <c r="H10" s="78">
        <v>486</v>
      </c>
    </row>
    <row r="11" spans="1:14">
      <c r="B11" s="73">
        <f>IF(FacilityType[[#This Row],[Active]]=TRUE,1,0)</f>
        <v>1</v>
      </c>
      <c r="C11" s="75" t="b">
        <v>1</v>
      </c>
      <c r="D11" s="73" t="s">
        <v>155</v>
      </c>
      <c r="E11" s="76" t="s">
        <v>156</v>
      </c>
      <c r="F11" s="73">
        <v>2</v>
      </c>
      <c r="G11" s="78"/>
      <c r="H11" s="78">
        <v>487</v>
      </c>
    </row>
    <row r="12" spans="1:14">
      <c r="B12" s="73">
        <f>IF(FacilityType[[#This Row],[Active]]=TRUE,1,0)</f>
        <v>1</v>
      </c>
      <c r="C12" s="75" t="b">
        <v>1</v>
      </c>
      <c r="D12" s="73" t="s">
        <v>157</v>
      </c>
      <c r="E12" s="76" t="s">
        <v>158</v>
      </c>
      <c r="F12" s="73">
        <v>3</v>
      </c>
      <c r="G12" s="78"/>
      <c r="H12" s="78">
        <v>488</v>
      </c>
    </row>
    <row r="13" spans="1:14">
      <c r="B13" s="73">
        <f>IF(FacilityType[[#This Row],[Active]]=TRUE,1,0)</f>
        <v>1</v>
      </c>
      <c r="C13" s="75" t="b">
        <v>1</v>
      </c>
      <c r="D13" s="73" t="s">
        <v>159</v>
      </c>
      <c r="E13" s="76" t="s">
        <v>160</v>
      </c>
      <c r="F13" s="73">
        <v>4</v>
      </c>
      <c r="G13" s="78"/>
      <c r="H13" s="78">
        <v>489</v>
      </c>
    </row>
    <row r="14" spans="1:14">
      <c r="B14" s="73">
        <f>IF(FacilityType[[#This Row],[Active]]=TRUE,1,0)</f>
        <v>1</v>
      </c>
      <c r="C14" s="75" t="b">
        <v>1</v>
      </c>
      <c r="D14" s="73" t="s">
        <v>161</v>
      </c>
      <c r="E14" s="76" t="s">
        <v>162</v>
      </c>
      <c r="F14" s="73">
        <v>0</v>
      </c>
      <c r="G14" s="78"/>
      <c r="H14" s="78">
        <v>490</v>
      </c>
    </row>
    <row r="15" spans="1:14">
      <c r="B15" s="73">
        <f>IF(FacilityType[[#This Row],[Active]]=TRUE,1,0)</f>
        <v>1</v>
      </c>
      <c r="C15" s="75" t="b">
        <v>1</v>
      </c>
      <c r="D15" s="73" t="s">
        <v>163</v>
      </c>
      <c r="E15" s="76" t="s">
        <v>164</v>
      </c>
      <c r="F15" s="73">
        <v>6</v>
      </c>
      <c r="G15" s="78"/>
      <c r="H15" s="78">
        <v>491</v>
      </c>
    </row>
    <row r="16" spans="1:14">
      <c r="B16" s="73">
        <f>IF(FacilityType[[#This Row],[Active]]=TRUE,1,0)</f>
        <v>1</v>
      </c>
      <c r="C16" s="75" t="b">
        <v>1</v>
      </c>
      <c r="D16" s="73" t="s">
        <v>111</v>
      </c>
      <c r="E16" s="76" t="s">
        <v>165</v>
      </c>
      <c r="F16" s="73">
        <v>5</v>
      </c>
      <c r="G16" s="78"/>
      <c r="H16" s="78">
        <v>492</v>
      </c>
    </row>
    <row r="17" spans="2:8">
      <c r="B17" s="73">
        <f>IF(FacilityType[[#This Row],[Active]]=TRUE,1,0)</f>
        <v>1</v>
      </c>
      <c r="C17" s="75" t="b">
        <v>1</v>
      </c>
      <c r="D17" s="73" t="s">
        <v>166</v>
      </c>
      <c r="E17" s="76" t="s">
        <v>167</v>
      </c>
      <c r="F17" s="73">
        <v>1</v>
      </c>
      <c r="G17" s="78"/>
      <c r="H17" s="78">
        <v>493</v>
      </c>
    </row>
    <row r="18" spans="2:8">
      <c r="B18" s="73">
        <f>IF(FacilityType[[#This Row],[Active]]=TRUE,1,0)</f>
        <v>1</v>
      </c>
      <c r="C18" s="75" t="b">
        <v>1</v>
      </c>
      <c r="D18" s="73" t="s">
        <v>168</v>
      </c>
      <c r="E18" s="76" t="s">
        <v>169</v>
      </c>
      <c r="F18" s="73">
        <v>1</v>
      </c>
      <c r="G18" s="78"/>
      <c r="H18" s="78">
        <v>494</v>
      </c>
    </row>
    <row r="19" spans="2:8">
      <c r="B19" s="73">
        <f>IF(FacilityType[[#This Row],[Active]]=TRUE,1,0)</f>
        <v>1</v>
      </c>
      <c r="C19" s="75" t="b">
        <v>1</v>
      </c>
      <c r="D19" s="73" t="s">
        <v>170</v>
      </c>
      <c r="E19" s="76" t="s">
        <v>171</v>
      </c>
      <c r="F19" s="73">
        <v>7</v>
      </c>
      <c r="G19" s="78"/>
      <c r="H19" s="78">
        <v>495</v>
      </c>
    </row>
    <row r="20" spans="2:8">
      <c r="B20" s="73">
        <f>IF(FacilityType[[#This Row],[Active]]=TRUE,1,0)</f>
        <v>1</v>
      </c>
      <c r="C20" s="75" t="b">
        <v>1</v>
      </c>
      <c r="D20" s="73" t="s">
        <v>172</v>
      </c>
      <c r="E20" s="76" t="s">
        <v>173</v>
      </c>
      <c r="F20" s="73">
        <v>0</v>
      </c>
      <c r="G20" s="78"/>
      <c r="H20" s="78">
        <v>496</v>
      </c>
    </row>
    <row r="21" spans="2:8">
      <c r="B21" s="73">
        <f>IF(FacilityType[[#This Row],[Active]]=TRUE,1,0)</f>
        <v>1</v>
      </c>
      <c r="C21" s="75" t="b">
        <v>1</v>
      </c>
      <c r="D21" s="73" t="s">
        <v>174</v>
      </c>
      <c r="E21" s="76" t="s">
        <v>175</v>
      </c>
      <c r="F21" s="73">
        <v>0</v>
      </c>
      <c r="G21" s="78"/>
      <c r="H21" s="78">
        <v>497</v>
      </c>
    </row>
    <row r="22" spans="2:8">
      <c r="B22" s="73">
        <f>IF(FacilityType[[#This Row],[Active]]=TRUE,1,0)</f>
        <v>1</v>
      </c>
      <c r="C22" s="75" t="b">
        <v>1</v>
      </c>
      <c r="D22" s="73" t="s">
        <v>298</v>
      </c>
      <c r="E22" s="76" t="s">
        <v>299</v>
      </c>
      <c r="F22" s="73">
        <v>0</v>
      </c>
      <c r="G22" s="78"/>
      <c r="H22" s="78">
        <v>549</v>
      </c>
    </row>
    <row r="23" spans="2:8">
      <c r="B23" s="73">
        <f>IF(FacilityType[[#This Row],[Active]]=TRUE,1,0)</f>
        <v>1</v>
      </c>
      <c r="C23" s="75" t="b">
        <v>1</v>
      </c>
      <c r="D23" s="73" t="s">
        <v>82</v>
      </c>
      <c r="E23" s="76" t="s">
        <v>302</v>
      </c>
      <c r="F23" s="73">
        <v>0</v>
      </c>
      <c r="G23" s="78"/>
      <c r="H23" s="78">
        <v>550</v>
      </c>
    </row>
    <row r="24" spans="2:8">
      <c r="B24" s="73">
        <f>IF(FacilityType[[#This Row],[Active]]=TRUE,1,0)</f>
        <v>1</v>
      </c>
      <c r="C24" s="75" t="b">
        <v>1</v>
      </c>
      <c r="D24" s="73" t="s">
        <v>120</v>
      </c>
      <c r="E24" s="76" t="s">
        <v>303</v>
      </c>
      <c r="F24" s="73">
        <v>0</v>
      </c>
      <c r="G24" s="78"/>
      <c r="H24" s="78">
        <v>551</v>
      </c>
    </row>
    <row r="25" spans="2:8">
      <c r="B25" s="73">
        <f>IF(FacilityType[[#This Row],[Active]]=TRUE,1,0)</f>
        <v>1</v>
      </c>
      <c r="C25" s="75" t="b">
        <v>1</v>
      </c>
      <c r="D25" s="73" t="s">
        <v>304</v>
      </c>
      <c r="E25" s="76" t="s">
        <v>305</v>
      </c>
      <c r="F25" s="73">
        <v>0</v>
      </c>
      <c r="G25" s="78"/>
      <c r="H25" s="78">
        <v>552</v>
      </c>
    </row>
    <row r="26" spans="2:8">
      <c r="B26" s="73">
        <f>IF(FacilityType[[#This Row],[Active]]=TRUE,1,0)</f>
        <v>1</v>
      </c>
      <c r="C26" s="75" t="b">
        <v>1</v>
      </c>
      <c r="D26" s="73" t="s">
        <v>306</v>
      </c>
      <c r="E26" s="76" t="s">
        <v>307</v>
      </c>
      <c r="F26" s="73">
        <v>0</v>
      </c>
      <c r="G26" s="78"/>
      <c r="H26" s="78">
        <v>553</v>
      </c>
    </row>
    <row r="27" spans="2:8">
      <c r="B27" s="73">
        <f>IF(FacilityType[[#This Row],[Active]]=TRUE,1,0)</f>
        <v>1</v>
      </c>
      <c r="C27" s="75" t="b">
        <v>1</v>
      </c>
      <c r="D27" s="73" t="s">
        <v>308</v>
      </c>
      <c r="E27" s="76" t="s">
        <v>309</v>
      </c>
      <c r="F27" s="73">
        <v>0</v>
      </c>
      <c r="G27" s="78"/>
      <c r="H27" s="78">
        <v>554</v>
      </c>
    </row>
    <row r="28" spans="2:8">
      <c r="B28" s="73">
        <f>IF(FacilityType[[#This Row],[Active]]=TRUE,1,0)</f>
        <v>1</v>
      </c>
      <c r="C28" s="75" t="b">
        <v>1</v>
      </c>
      <c r="D28" s="73" t="s">
        <v>310</v>
      </c>
      <c r="E28" s="76" t="s">
        <v>311</v>
      </c>
      <c r="F28" s="73">
        <v>0</v>
      </c>
      <c r="G28" s="78"/>
      <c r="H28" s="78">
        <v>555</v>
      </c>
    </row>
    <row r="29" spans="2:8">
      <c r="B29" s="73">
        <f>IF(FacilityType[[#This Row],[Active]]=TRUE,1,0)</f>
        <v>1</v>
      </c>
      <c r="C29" s="75" t="b">
        <v>1</v>
      </c>
      <c r="D29" s="73" t="s">
        <v>312</v>
      </c>
      <c r="E29" s="76" t="s">
        <v>313</v>
      </c>
      <c r="F29" s="73">
        <v>0</v>
      </c>
      <c r="G29" s="78"/>
      <c r="H29" s="78">
        <v>556</v>
      </c>
    </row>
    <row r="30" spans="2:8">
      <c r="B30" s="73">
        <f>IF(FacilityType[[#This Row],[Active]]=TRUE,1,0)</f>
        <v>1</v>
      </c>
      <c r="C30" s="75" t="b">
        <v>1</v>
      </c>
      <c r="D30" s="73" t="s">
        <v>331</v>
      </c>
      <c r="E30" s="76" t="s">
        <v>332</v>
      </c>
      <c r="F30" s="73">
        <v>0</v>
      </c>
      <c r="G30" s="78"/>
      <c r="H30" s="78">
        <v>557</v>
      </c>
    </row>
    <row r="31" spans="2:8">
      <c r="B31" s="73">
        <f>IF(FacilityType[[#This Row],[Active]]=TRUE,1,0)</f>
        <v>1</v>
      </c>
      <c r="C31" s="75" t="b">
        <v>1</v>
      </c>
      <c r="D31" s="73" t="s">
        <v>765</v>
      </c>
      <c r="E31" s="76" t="s">
        <v>1241</v>
      </c>
      <c r="F31" s="73">
        <v>0</v>
      </c>
      <c r="G31" s="78"/>
      <c r="H31" s="78">
        <v>558</v>
      </c>
    </row>
    <row r="32" spans="2:8">
      <c r="B32" s="73">
        <f>IF(FacilityType[[#This Row],[Active]]=TRUE,1,0)</f>
        <v>1</v>
      </c>
      <c r="C32" s="75" t="b">
        <v>1</v>
      </c>
      <c r="D32" s="73" t="s">
        <v>977</v>
      </c>
      <c r="E32" s="76" t="s">
        <v>1242</v>
      </c>
      <c r="F32" s="73">
        <v>0</v>
      </c>
      <c r="G32" s="78"/>
      <c r="H32" s="78">
        <v>559</v>
      </c>
    </row>
    <row r="33" spans="2:8">
      <c r="B33" s="73">
        <f>IF(FacilityType[[#This Row],[Active]]=TRUE,1,0)</f>
        <v>1</v>
      </c>
      <c r="C33" s="75" t="b">
        <v>1</v>
      </c>
      <c r="D33" s="73" t="s">
        <v>959</v>
      </c>
      <c r="E33" s="76" t="s">
        <v>1243</v>
      </c>
      <c r="F33" s="73">
        <v>0</v>
      </c>
      <c r="G33" s="78"/>
      <c r="H33" s="78">
        <v>560</v>
      </c>
    </row>
    <row r="34" spans="2:8">
      <c r="B34" s="73">
        <f>IF(FacilityType[[#This Row],[Active]]=TRUE,1,0)</f>
        <v>1</v>
      </c>
      <c r="C34" s="75" t="b">
        <v>1</v>
      </c>
      <c r="D34" s="73" t="s">
        <v>968</v>
      </c>
      <c r="E34" s="76" t="s">
        <v>1244</v>
      </c>
      <c r="F34" s="73">
        <v>0</v>
      </c>
      <c r="G34" s="78"/>
      <c r="H34" s="78">
        <v>561</v>
      </c>
    </row>
    <row r="35" spans="2:8">
      <c r="B35" s="73">
        <f>IF(FacilityType[[#This Row],[Active]]=TRUE,1,0)</f>
        <v>1</v>
      </c>
      <c r="C35" s="75" t="b">
        <v>1</v>
      </c>
      <c r="D35" s="73" t="s">
        <v>973</v>
      </c>
      <c r="E35" s="76" t="s">
        <v>1245</v>
      </c>
      <c r="F35" s="73">
        <v>0</v>
      </c>
      <c r="G35" s="78"/>
      <c r="H35" s="78">
        <v>562</v>
      </c>
    </row>
  </sheetData>
  <dataConsolidate/>
  <mergeCells count="1">
    <mergeCell ref="B2:G2"/>
  </mergeCells>
  <conditionalFormatting sqref="B5:H35">
    <cfRule type="expression" dxfId="37" priority="1">
      <formula>$C5 = FALSE</formula>
    </cfRule>
  </conditionalFormatting>
  <conditionalFormatting sqref="C5:C35">
    <cfRule type="containsText" dxfId="36" priority="2" operator="containsText" text="TRUE">
      <formula>NOT(ISERROR(SEARCH("TRUE",C5)))</formula>
    </cfRule>
    <cfRule type="containsText" dxfId="35" priority="3" operator="containsText" text="FALSE">
      <formula>NOT(ISERROR(SEARCH("FALSE",C5)))</formula>
    </cfRule>
  </conditionalFormatting>
  <dataValidations count="1">
    <dataValidation type="list" allowBlank="1" showInputMessage="1" showErrorMessage="1" sqref="C5:C3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52" id="{FC2E3658-890C-4D0F-935E-F7ED65AC671C}">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R120"/>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G93" sqref="G93"/>
    </sheetView>
  </sheetViews>
  <sheetFormatPr defaultRowHeight="15"/>
  <cols>
    <col min="1" max="1" width="21.28515625" style="27" customWidth="1"/>
    <col min="2" max="2" width="6.42578125" customWidth="1"/>
    <col min="3" max="3" width="11.140625" style="15" customWidth="1"/>
    <col min="4" max="4" width="19" customWidth="1"/>
    <col min="5" max="5" width="25.7109375" bestFit="1" customWidth="1"/>
    <col min="6" max="6" width="20" customWidth="1"/>
    <col min="7" max="7" width="9.85546875" customWidth="1"/>
    <col min="8" max="8" width="15.7109375" bestFit="1" customWidth="1"/>
    <col min="9" max="9" width="13.85546875" bestFit="1" customWidth="1"/>
    <col min="10" max="10" width="13.42578125" bestFit="1" customWidth="1"/>
    <col min="11" max="11" width="15.85546875" hidden="1" customWidth="1"/>
    <col min="12" max="12" width="9.42578125" hidden="1" customWidth="1"/>
    <col min="13" max="13" width="14.28515625" hidden="1" customWidth="1"/>
    <col min="14" max="14" width="13.42578125" hidden="1" customWidth="1"/>
    <col min="15" max="15" width="16.28515625" hidden="1" customWidth="1"/>
    <col min="16" max="16" width="15.140625" hidden="1" customWidth="1"/>
    <col min="17" max="17" width="15.85546875" hidden="1" customWidth="1"/>
    <col min="18" max="18" width="7.42578125" hidden="1" customWidth="1"/>
  </cols>
  <sheetData>
    <row r="1" spans="1:18" ht="74.25" hidden="1" customHeight="1">
      <c r="A1" s="16"/>
      <c r="P1">
        <v>52</v>
      </c>
    </row>
    <row r="2" spans="1:18" s="5" customFormat="1" ht="29.25" customHeight="1" thickBot="1">
      <c r="A2" s="27"/>
      <c r="B2" s="101" t="s">
        <v>181</v>
      </c>
      <c r="C2" s="101"/>
      <c r="D2" s="101"/>
      <c r="E2" s="101"/>
      <c r="F2" s="101"/>
      <c r="G2" s="101"/>
      <c r="H2" s="30"/>
    </row>
    <row r="3" spans="1:18" s="4" customFormat="1" ht="9" customHeight="1" thickTop="1">
      <c r="A3" s="27"/>
      <c r="C3" s="24"/>
    </row>
    <row r="4" spans="1:18" s="13" customFormat="1" ht="15" customHeight="1">
      <c r="A4" s="27"/>
      <c r="B4" s="20" t="s">
        <v>11</v>
      </c>
      <c r="C4" s="19" t="s">
        <v>1</v>
      </c>
      <c r="D4" s="19" t="s">
        <v>0</v>
      </c>
      <c r="E4" s="19" t="s">
        <v>3</v>
      </c>
      <c r="F4" s="19" t="s">
        <v>50</v>
      </c>
      <c r="G4" s="19" t="s">
        <v>96</v>
      </c>
      <c r="H4" s="19" t="s">
        <v>185</v>
      </c>
      <c r="I4" s="19" t="s">
        <v>330</v>
      </c>
      <c r="J4" s="19" t="s">
        <v>30</v>
      </c>
      <c r="K4" s="19" t="s">
        <v>24</v>
      </c>
      <c r="L4" s="19" t="s">
        <v>182</v>
      </c>
      <c r="M4" s="19" t="s">
        <v>183</v>
      </c>
      <c r="N4" s="19" t="s">
        <v>184</v>
      </c>
      <c r="O4" s="19" t="s">
        <v>186</v>
      </c>
      <c r="P4" s="19" t="s">
        <v>329</v>
      </c>
      <c r="Q4" s="19" t="s">
        <v>2</v>
      </c>
      <c r="R4" s="19" t="s">
        <v>20</v>
      </c>
    </row>
    <row r="5" spans="1:18">
      <c r="A5" s="28"/>
      <c r="B5" s="32">
        <f>IF(Facilities[[#This Row],[Active]]=TRUE,1,0)</f>
        <v>0</v>
      </c>
      <c r="C5" s="33" t="b">
        <v>0</v>
      </c>
      <c r="D5" s="31" t="s">
        <v>633</v>
      </c>
      <c r="E5" s="50" t="s">
        <v>776</v>
      </c>
      <c r="F5" s="50" t="s">
        <v>777</v>
      </c>
      <c r="G5" s="31" t="s">
        <v>149</v>
      </c>
      <c r="H5" s="65" t="s">
        <v>370</v>
      </c>
      <c r="I5" s="33" t="s">
        <v>587</v>
      </c>
      <c r="J5" s="33" t="s">
        <v>326</v>
      </c>
      <c r="K5" s="31">
        <v>1</v>
      </c>
      <c r="L5" s="31" t="s">
        <v>604</v>
      </c>
      <c r="M5" s="31"/>
      <c r="N5" s="31">
        <v>1</v>
      </c>
      <c r="O5" s="33" t="b">
        <v>1</v>
      </c>
      <c r="P5" s="33" t="b">
        <v>0</v>
      </c>
      <c r="Q5" s="63">
        <v>25</v>
      </c>
      <c r="R5" s="64">
        <v>1011</v>
      </c>
    </row>
    <row r="6" spans="1:18">
      <c r="B6" s="73">
        <f>IF(Facilities[[#This Row],[Active]]=TRUE,1,0)</f>
        <v>0</v>
      </c>
      <c r="C6" s="75" t="b">
        <v>0</v>
      </c>
      <c r="D6" s="73" t="s">
        <v>637</v>
      </c>
      <c r="E6" s="76" t="s">
        <v>778</v>
      </c>
      <c r="F6" s="76" t="s">
        <v>779</v>
      </c>
      <c r="G6" s="73" t="s">
        <v>151</v>
      </c>
      <c r="H6" s="77" t="s">
        <v>101</v>
      </c>
      <c r="I6" s="84" t="s">
        <v>587</v>
      </c>
      <c r="J6" s="84" t="s">
        <v>326</v>
      </c>
      <c r="K6" s="85">
        <v>1</v>
      </c>
      <c r="L6" s="85" t="s">
        <v>604</v>
      </c>
      <c r="M6" s="85"/>
      <c r="N6" s="85">
        <v>1</v>
      </c>
      <c r="O6" s="79" t="b">
        <v>1</v>
      </c>
      <c r="P6" s="79" t="b">
        <v>0</v>
      </c>
      <c r="Q6" s="78">
        <v>25</v>
      </c>
      <c r="R6" s="78">
        <v>1012</v>
      </c>
    </row>
    <row r="7" spans="1:18">
      <c r="B7" s="73">
        <f>IF(Facilities[[#This Row],[Active]]=TRUE,1,0)</f>
        <v>0</v>
      </c>
      <c r="C7" s="75" t="b">
        <v>0</v>
      </c>
      <c r="D7" s="73" t="s">
        <v>780</v>
      </c>
      <c r="E7" s="76" t="s">
        <v>781</v>
      </c>
      <c r="F7" s="76" t="s">
        <v>782</v>
      </c>
      <c r="G7" s="73" t="s">
        <v>161</v>
      </c>
      <c r="H7" s="77" t="s">
        <v>447</v>
      </c>
      <c r="I7" s="84" t="s">
        <v>587</v>
      </c>
      <c r="J7" s="84" t="s">
        <v>326</v>
      </c>
      <c r="K7" s="85">
        <v>1</v>
      </c>
      <c r="L7" s="85" t="s">
        <v>604</v>
      </c>
      <c r="M7" s="85"/>
      <c r="N7" s="85">
        <v>1</v>
      </c>
      <c r="O7" s="79" t="b">
        <v>1</v>
      </c>
      <c r="P7" s="79" t="b">
        <v>0</v>
      </c>
      <c r="Q7" s="78">
        <v>25</v>
      </c>
      <c r="R7" s="78">
        <v>1013</v>
      </c>
    </row>
    <row r="8" spans="1:18">
      <c r="B8" s="73">
        <f>IF(Facilities[[#This Row],[Active]]=TRUE,1,0)</f>
        <v>0</v>
      </c>
      <c r="C8" s="75" t="b">
        <v>0</v>
      </c>
      <c r="D8" s="73" t="s">
        <v>783</v>
      </c>
      <c r="E8" s="76" t="s">
        <v>784</v>
      </c>
      <c r="F8" s="76" t="s">
        <v>785</v>
      </c>
      <c r="G8" s="73" t="s">
        <v>161</v>
      </c>
      <c r="H8" s="77" t="s">
        <v>101</v>
      </c>
      <c r="I8" s="84" t="s">
        <v>587</v>
      </c>
      <c r="J8" s="84" t="s">
        <v>326</v>
      </c>
      <c r="K8" s="85">
        <v>1</v>
      </c>
      <c r="L8" s="85" t="s">
        <v>604</v>
      </c>
      <c r="M8" s="85"/>
      <c r="N8" s="85">
        <v>1</v>
      </c>
      <c r="O8" s="79" t="b">
        <v>1</v>
      </c>
      <c r="P8" s="79" t="b">
        <v>0</v>
      </c>
      <c r="Q8" s="78">
        <v>25</v>
      </c>
      <c r="R8" s="78">
        <v>1014</v>
      </c>
    </row>
    <row r="9" spans="1:18">
      <c r="B9" s="73">
        <f>IF(Facilities[[#This Row],[Active]]=TRUE,1,0)</f>
        <v>0</v>
      </c>
      <c r="C9" s="75" t="b">
        <v>0</v>
      </c>
      <c r="D9" s="73" t="s">
        <v>786</v>
      </c>
      <c r="E9" s="76" t="s">
        <v>787</v>
      </c>
      <c r="F9" s="76" t="s">
        <v>788</v>
      </c>
      <c r="G9" s="73" t="s">
        <v>151</v>
      </c>
      <c r="H9" s="77" t="s">
        <v>101</v>
      </c>
      <c r="I9" s="84" t="s">
        <v>587</v>
      </c>
      <c r="J9" s="84" t="s">
        <v>326</v>
      </c>
      <c r="K9" s="85">
        <v>1</v>
      </c>
      <c r="L9" s="85" t="s">
        <v>604</v>
      </c>
      <c r="M9" s="85"/>
      <c r="N9" s="85">
        <v>1</v>
      </c>
      <c r="O9" s="79" t="b">
        <v>1</v>
      </c>
      <c r="P9" s="79" t="b">
        <v>0</v>
      </c>
      <c r="Q9" s="78">
        <v>25</v>
      </c>
      <c r="R9" s="78">
        <v>1015</v>
      </c>
    </row>
    <row r="10" spans="1:18">
      <c r="B10" s="73">
        <f>IF(Facilities[[#This Row],[Active]]=TRUE,1,0)</f>
        <v>0</v>
      </c>
      <c r="C10" s="75" t="b">
        <v>0</v>
      </c>
      <c r="D10" s="73" t="s">
        <v>789</v>
      </c>
      <c r="E10" s="76" t="s">
        <v>790</v>
      </c>
      <c r="F10" s="76" t="s">
        <v>791</v>
      </c>
      <c r="G10" s="73" t="s">
        <v>153</v>
      </c>
      <c r="H10" s="77" t="s">
        <v>407</v>
      </c>
      <c r="I10" s="84" t="s">
        <v>587</v>
      </c>
      <c r="J10" s="84" t="s">
        <v>326</v>
      </c>
      <c r="K10" s="85">
        <v>1</v>
      </c>
      <c r="L10" s="85" t="s">
        <v>604</v>
      </c>
      <c r="M10" s="85"/>
      <c r="N10" s="85">
        <v>1</v>
      </c>
      <c r="O10" s="79" t="b">
        <v>1</v>
      </c>
      <c r="P10" s="79" t="b">
        <v>0</v>
      </c>
      <c r="Q10" s="78">
        <v>25</v>
      </c>
      <c r="R10" s="78">
        <v>1016</v>
      </c>
    </row>
    <row r="11" spans="1:18">
      <c r="B11" s="73">
        <f>IF(Facilities[[#This Row],[Active]]=TRUE,1,0)</f>
        <v>0</v>
      </c>
      <c r="C11" s="75" t="b">
        <v>0</v>
      </c>
      <c r="D11" s="73" t="s">
        <v>792</v>
      </c>
      <c r="E11" s="76" t="s">
        <v>793</v>
      </c>
      <c r="F11" s="76" t="s">
        <v>794</v>
      </c>
      <c r="G11" s="73" t="s">
        <v>161</v>
      </c>
      <c r="H11" s="77" t="s">
        <v>447</v>
      </c>
      <c r="I11" s="84" t="s">
        <v>587</v>
      </c>
      <c r="J11" s="84" t="s">
        <v>326</v>
      </c>
      <c r="K11" s="85">
        <v>1</v>
      </c>
      <c r="L11" s="85" t="s">
        <v>604</v>
      </c>
      <c r="M11" s="85"/>
      <c r="N11" s="85">
        <v>1</v>
      </c>
      <c r="O11" s="79" t="b">
        <v>1</v>
      </c>
      <c r="P11" s="79" t="b">
        <v>0</v>
      </c>
      <c r="Q11" s="78">
        <v>25</v>
      </c>
      <c r="R11" s="78">
        <v>1017</v>
      </c>
    </row>
    <row r="12" spans="1:18">
      <c r="B12" s="73">
        <f>IF(Facilities[[#This Row],[Active]]=TRUE,1,0)</f>
        <v>0</v>
      </c>
      <c r="C12" s="75" t="b">
        <v>0</v>
      </c>
      <c r="D12" s="73" t="s">
        <v>795</v>
      </c>
      <c r="E12" s="76" t="s">
        <v>796</v>
      </c>
      <c r="F12" s="76" t="s">
        <v>797</v>
      </c>
      <c r="G12" s="73" t="s">
        <v>161</v>
      </c>
      <c r="H12" s="77" t="s">
        <v>101</v>
      </c>
      <c r="I12" s="84" t="s">
        <v>587</v>
      </c>
      <c r="J12" s="84" t="s">
        <v>326</v>
      </c>
      <c r="K12" s="85">
        <v>1</v>
      </c>
      <c r="L12" s="85" t="s">
        <v>604</v>
      </c>
      <c r="M12" s="85"/>
      <c r="N12" s="85">
        <v>1</v>
      </c>
      <c r="O12" s="79" t="b">
        <v>1</v>
      </c>
      <c r="P12" s="79" t="b">
        <v>0</v>
      </c>
      <c r="Q12" s="78">
        <v>25</v>
      </c>
      <c r="R12" s="78">
        <v>1018</v>
      </c>
    </row>
    <row r="13" spans="1:18">
      <c r="B13" s="73">
        <f>IF(Facilities[[#This Row],[Active]]=TRUE,1,0)</f>
        <v>0</v>
      </c>
      <c r="C13" s="75" t="b">
        <v>0</v>
      </c>
      <c r="D13" s="73" t="s">
        <v>798</v>
      </c>
      <c r="E13" s="76" t="s">
        <v>799</v>
      </c>
      <c r="F13" s="76" t="s">
        <v>800</v>
      </c>
      <c r="G13" s="73" t="s">
        <v>161</v>
      </c>
      <c r="H13" s="77" t="s">
        <v>549</v>
      </c>
      <c r="I13" s="84" t="s">
        <v>587</v>
      </c>
      <c r="J13" s="84" t="s">
        <v>326</v>
      </c>
      <c r="K13" s="85">
        <v>1</v>
      </c>
      <c r="L13" s="85" t="s">
        <v>604</v>
      </c>
      <c r="M13" s="85"/>
      <c r="N13" s="85">
        <v>1</v>
      </c>
      <c r="O13" s="79" t="b">
        <v>1</v>
      </c>
      <c r="P13" s="79" t="b">
        <v>0</v>
      </c>
      <c r="Q13" s="78">
        <v>25</v>
      </c>
      <c r="R13" s="78">
        <v>1019</v>
      </c>
    </row>
    <row r="14" spans="1:18">
      <c r="B14" s="73">
        <f>IF(Facilities[[#This Row],[Active]]=TRUE,1,0)</f>
        <v>0</v>
      </c>
      <c r="C14" s="75" t="b">
        <v>0</v>
      </c>
      <c r="D14" s="73" t="s">
        <v>801</v>
      </c>
      <c r="E14" s="76" t="s">
        <v>802</v>
      </c>
      <c r="F14" s="76" t="s">
        <v>803</v>
      </c>
      <c r="G14" s="73" t="s">
        <v>157</v>
      </c>
      <c r="H14" s="77" t="s">
        <v>101</v>
      </c>
      <c r="I14" s="84" t="s">
        <v>587</v>
      </c>
      <c r="J14" s="84" t="s">
        <v>326</v>
      </c>
      <c r="K14" s="85">
        <v>1</v>
      </c>
      <c r="L14" s="85" t="s">
        <v>604</v>
      </c>
      <c r="M14" s="85"/>
      <c r="N14" s="85">
        <v>1</v>
      </c>
      <c r="O14" s="79" t="b">
        <v>1</v>
      </c>
      <c r="P14" s="79" t="b">
        <v>0</v>
      </c>
      <c r="Q14" s="78">
        <v>25</v>
      </c>
      <c r="R14" s="78">
        <v>1020</v>
      </c>
    </row>
    <row r="15" spans="1:18">
      <c r="B15" s="73">
        <f>IF(Facilities[[#This Row],[Active]]=TRUE,1,0)</f>
        <v>0</v>
      </c>
      <c r="C15" s="75" t="b">
        <v>0</v>
      </c>
      <c r="D15" s="73" t="s">
        <v>804</v>
      </c>
      <c r="E15" s="76" t="s">
        <v>805</v>
      </c>
      <c r="F15" s="76" t="s">
        <v>806</v>
      </c>
      <c r="G15" s="73" t="s">
        <v>147</v>
      </c>
      <c r="H15" s="77" t="s">
        <v>538</v>
      </c>
      <c r="I15" s="84" t="s">
        <v>587</v>
      </c>
      <c r="J15" s="84" t="s">
        <v>326</v>
      </c>
      <c r="K15" s="85">
        <v>1</v>
      </c>
      <c r="L15" s="85" t="s">
        <v>807</v>
      </c>
      <c r="M15" s="85"/>
      <c r="N15" s="85">
        <v>1</v>
      </c>
      <c r="O15" s="79" t="b">
        <v>1</v>
      </c>
      <c r="P15" s="79" t="b">
        <v>0</v>
      </c>
      <c r="Q15" s="78">
        <v>25</v>
      </c>
      <c r="R15" s="78">
        <v>1021</v>
      </c>
    </row>
    <row r="16" spans="1:18">
      <c r="B16" s="73">
        <f>IF(Facilities[[#This Row],[Active]]=TRUE,1,0)</f>
        <v>0</v>
      </c>
      <c r="C16" s="75" t="b">
        <v>0</v>
      </c>
      <c r="D16" s="73" t="s">
        <v>808</v>
      </c>
      <c r="E16" s="76" t="s">
        <v>809</v>
      </c>
      <c r="F16" s="76" t="s">
        <v>806</v>
      </c>
      <c r="G16" s="73" t="s">
        <v>151</v>
      </c>
      <c r="H16" s="77" t="s">
        <v>538</v>
      </c>
      <c r="I16" s="84" t="s">
        <v>587</v>
      </c>
      <c r="J16" s="84" t="s">
        <v>326</v>
      </c>
      <c r="K16" s="85">
        <v>1</v>
      </c>
      <c r="L16" s="85" t="s">
        <v>807</v>
      </c>
      <c r="M16" s="85"/>
      <c r="N16" s="85">
        <v>1</v>
      </c>
      <c r="O16" s="79" t="b">
        <v>1</v>
      </c>
      <c r="P16" s="79" t="b">
        <v>0</v>
      </c>
      <c r="Q16" s="78">
        <v>25</v>
      </c>
      <c r="R16" s="78">
        <v>1022</v>
      </c>
    </row>
    <row r="17" spans="2:18">
      <c r="B17" s="73">
        <f>IF(Facilities[[#This Row],[Active]]=TRUE,1,0)</f>
        <v>0</v>
      </c>
      <c r="C17" s="75" t="b">
        <v>0</v>
      </c>
      <c r="D17" s="73" t="s">
        <v>810</v>
      </c>
      <c r="E17" s="76" t="s">
        <v>811</v>
      </c>
      <c r="F17" s="76" t="s">
        <v>812</v>
      </c>
      <c r="G17" s="73" t="s">
        <v>151</v>
      </c>
      <c r="H17" s="77" t="s">
        <v>494</v>
      </c>
      <c r="I17" s="84" t="s">
        <v>587</v>
      </c>
      <c r="J17" s="84" t="s">
        <v>326</v>
      </c>
      <c r="K17" s="85">
        <v>1</v>
      </c>
      <c r="L17" s="85" t="s">
        <v>604</v>
      </c>
      <c r="M17" s="85"/>
      <c r="N17" s="85">
        <v>1</v>
      </c>
      <c r="O17" s="79" t="b">
        <v>1</v>
      </c>
      <c r="P17" s="79" t="b">
        <v>0</v>
      </c>
      <c r="Q17" s="78">
        <v>25</v>
      </c>
      <c r="R17" s="78">
        <v>1023</v>
      </c>
    </row>
    <row r="18" spans="2:18">
      <c r="B18" s="73">
        <f>IF(Facilities[[#This Row],[Active]]=TRUE,1,0)</f>
        <v>0</v>
      </c>
      <c r="C18" s="75" t="b">
        <v>0</v>
      </c>
      <c r="D18" s="73" t="s">
        <v>813</v>
      </c>
      <c r="E18" s="76" t="s">
        <v>814</v>
      </c>
      <c r="F18" s="76" t="s">
        <v>815</v>
      </c>
      <c r="G18" s="73" t="s">
        <v>143</v>
      </c>
      <c r="H18" s="77" t="s">
        <v>508</v>
      </c>
      <c r="I18" s="84" t="s">
        <v>587</v>
      </c>
      <c r="J18" s="84" t="s">
        <v>326</v>
      </c>
      <c r="K18" s="85">
        <v>1</v>
      </c>
      <c r="L18" s="85" t="s">
        <v>807</v>
      </c>
      <c r="M18" s="85"/>
      <c r="N18" s="85">
        <v>1</v>
      </c>
      <c r="O18" s="79" t="b">
        <v>1</v>
      </c>
      <c r="P18" s="79" t="b">
        <v>0</v>
      </c>
      <c r="Q18" s="78">
        <v>25</v>
      </c>
      <c r="R18" s="78">
        <v>1024</v>
      </c>
    </row>
    <row r="19" spans="2:18">
      <c r="B19" s="73">
        <f>IF(Facilities[[#This Row],[Active]]=TRUE,1,0)</f>
        <v>0</v>
      </c>
      <c r="C19" s="75" t="b">
        <v>0</v>
      </c>
      <c r="D19" s="73" t="s">
        <v>816</v>
      </c>
      <c r="E19" s="76" t="s">
        <v>817</v>
      </c>
      <c r="F19" s="76" t="s">
        <v>818</v>
      </c>
      <c r="G19" s="73" t="s">
        <v>111</v>
      </c>
      <c r="H19" s="77" t="s">
        <v>537</v>
      </c>
      <c r="I19" s="84" t="s">
        <v>587</v>
      </c>
      <c r="J19" s="84" t="s">
        <v>326</v>
      </c>
      <c r="K19" s="85">
        <v>1</v>
      </c>
      <c r="L19" s="85" t="s">
        <v>807</v>
      </c>
      <c r="M19" s="85"/>
      <c r="N19" s="85">
        <v>1</v>
      </c>
      <c r="O19" s="79" t="b">
        <v>1</v>
      </c>
      <c r="P19" s="79" t="b">
        <v>0</v>
      </c>
      <c r="Q19" s="78">
        <v>25</v>
      </c>
      <c r="R19" s="78">
        <v>1025</v>
      </c>
    </row>
    <row r="20" spans="2:18">
      <c r="B20" s="73">
        <f>IF(Facilities[[#This Row],[Active]]=TRUE,1,0)</f>
        <v>0</v>
      </c>
      <c r="C20" s="75" t="b">
        <v>0</v>
      </c>
      <c r="D20" s="73" t="s">
        <v>819</v>
      </c>
      <c r="E20" s="76" t="s">
        <v>820</v>
      </c>
      <c r="F20" s="76" t="s">
        <v>821</v>
      </c>
      <c r="G20" s="73" t="s">
        <v>161</v>
      </c>
      <c r="H20" s="77" t="s">
        <v>549</v>
      </c>
      <c r="I20" s="84" t="s">
        <v>587</v>
      </c>
      <c r="J20" s="84" t="s">
        <v>326</v>
      </c>
      <c r="K20" s="85">
        <v>1</v>
      </c>
      <c r="L20" s="85" t="s">
        <v>604</v>
      </c>
      <c r="M20" s="85"/>
      <c r="N20" s="85">
        <v>1</v>
      </c>
      <c r="O20" s="79" t="b">
        <v>1</v>
      </c>
      <c r="P20" s="79" t="b">
        <v>0</v>
      </c>
      <c r="Q20" s="78">
        <v>25</v>
      </c>
      <c r="R20" s="78">
        <v>1026</v>
      </c>
    </row>
    <row r="21" spans="2:18">
      <c r="B21" s="73">
        <f>IF(Facilities[[#This Row],[Active]]=TRUE,1,0)</f>
        <v>0</v>
      </c>
      <c r="C21" s="75" t="b">
        <v>0</v>
      </c>
      <c r="D21" s="73" t="s">
        <v>822</v>
      </c>
      <c r="E21" s="76" t="s">
        <v>823</v>
      </c>
      <c r="F21" s="76" t="s">
        <v>800</v>
      </c>
      <c r="G21" s="73" t="s">
        <v>163</v>
      </c>
      <c r="H21" s="77" t="s">
        <v>549</v>
      </c>
      <c r="I21" s="84" t="s">
        <v>587</v>
      </c>
      <c r="J21" s="84" t="s">
        <v>326</v>
      </c>
      <c r="K21" s="85">
        <v>1</v>
      </c>
      <c r="L21" s="85" t="s">
        <v>604</v>
      </c>
      <c r="M21" s="85" t="s">
        <v>824</v>
      </c>
      <c r="N21" s="85">
        <v>1</v>
      </c>
      <c r="O21" s="79" t="b">
        <v>1</v>
      </c>
      <c r="P21" s="79" t="b">
        <v>0</v>
      </c>
      <c r="Q21" s="78">
        <v>25</v>
      </c>
      <c r="R21" s="78">
        <v>1027</v>
      </c>
    </row>
    <row r="22" spans="2:18">
      <c r="B22" s="73">
        <f>IF(Facilities[[#This Row],[Active]]=TRUE,1,0)</f>
        <v>0</v>
      </c>
      <c r="C22" s="75" t="b">
        <v>0</v>
      </c>
      <c r="D22" s="73" t="s">
        <v>825</v>
      </c>
      <c r="E22" s="76" t="s">
        <v>826</v>
      </c>
      <c r="F22" s="76" t="s">
        <v>827</v>
      </c>
      <c r="G22" s="73" t="s">
        <v>111</v>
      </c>
      <c r="H22" s="77" t="s">
        <v>508</v>
      </c>
      <c r="I22" s="84" t="s">
        <v>587</v>
      </c>
      <c r="J22" s="84" t="s">
        <v>326</v>
      </c>
      <c r="K22" s="85">
        <v>1</v>
      </c>
      <c r="L22" s="85" t="s">
        <v>807</v>
      </c>
      <c r="M22" s="85"/>
      <c r="N22" s="85">
        <v>1</v>
      </c>
      <c r="O22" s="79" t="b">
        <v>1</v>
      </c>
      <c r="P22" s="79" t="b">
        <v>0</v>
      </c>
      <c r="Q22" s="78">
        <v>25</v>
      </c>
      <c r="R22" s="78">
        <v>1028</v>
      </c>
    </row>
    <row r="23" spans="2:18">
      <c r="B23" s="73">
        <f>IF(Facilities[[#This Row],[Active]]=TRUE,1,0)</f>
        <v>0</v>
      </c>
      <c r="C23" s="75" t="b">
        <v>0</v>
      </c>
      <c r="D23" s="73" t="s">
        <v>828</v>
      </c>
      <c r="E23" s="76" t="s">
        <v>829</v>
      </c>
      <c r="F23" s="76" t="s">
        <v>830</v>
      </c>
      <c r="G23" s="73" t="s">
        <v>151</v>
      </c>
      <c r="H23" s="77" t="s">
        <v>101</v>
      </c>
      <c r="I23" s="84" t="s">
        <v>587</v>
      </c>
      <c r="J23" s="84" t="s">
        <v>326</v>
      </c>
      <c r="K23" s="85">
        <v>1</v>
      </c>
      <c r="L23" s="85" t="s">
        <v>604</v>
      </c>
      <c r="M23" s="85"/>
      <c r="N23" s="85">
        <v>1</v>
      </c>
      <c r="O23" s="79" t="b">
        <v>1</v>
      </c>
      <c r="P23" s="79" t="b">
        <v>0</v>
      </c>
      <c r="Q23" s="78">
        <v>25</v>
      </c>
      <c r="R23" s="78">
        <v>1029</v>
      </c>
    </row>
    <row r="24" spans="2:18">
      <c r="B24" s="73">
        <f>IF(Facilities[[#This Row],[Active]]=TRUE,1,0)</f>
        <v>0</v>
      </c>
      <c r="C24" s="75" t="b">
        <v>0</v>
      </c>
      <c r="D24" s="73" t="s">
        <v>831</v>
      </c>
      <c r="E24" s="76" t="s">
        <v>829</v>
      </c>
      <c r="F24" s="76" t="s">
        <v>832</v>
      </c>
      <c r="G24" s="73" t="s">
        <v>155</v>
      </c>
      <c r="H24" s="77" t="s">
        <v>380</v>
      </c>
      <c r="I24" s="84" t="s">
        <v>587</v>
      </c>
      <c r="J24" s="84" t="s">
        <v>326</v>
      </c>
      <c r="K24" s="85">
        <v>1</v>
      </c>
      <c r="L24" s="85" t="s">
        <v>604</v>
      </c>
      <c r="M24" s="85"/>
      <c r="N24" s="85">
        <v>1</v>
      </c>
      <c r="O24" s="79" t="b">
        <v>1</v>
      </c>
      <c r="P24" s="79" t="b">
        <v>0</v>
      </c>
      <c r="Q24" s="78">
        <v>25</v>
      </c>
      <c r="R24" s="78">
        <v>1030</v>
      </c>
    </row>
    <row r="25" spans="2:18">
      <c r="B25" s="73">
        <f>IF(Facilities[[#This Row],[Active]]=TRUE,1,0)</f>
        <v>0</v>
      </c>
      <c r="C25" s="75" t="b">
        <v>0</v>
      </c>
      <c r="D25" s="73" t="s">
        <v>833</v>
      </c>
      <c r="E25" s="76" t="s">
        <v>790</v>
      </c>
      <c r="F25" s="76" t="s">
        <v>779</v>
      </c>
      <c r="G25" s="73" t="s">
        <v>151</v>
      </c>
      <c r="H25" s="77" t="s">
        <v>101</v>
      </c>
      <c r="I25" s="84" t="s">
        <v>587</v>
      </c>
      <c r="J25" s="84" t="s">
        <v>326</v>
      </c>
      <c r="K25" s="85">
        <v>1</v>
      </c>
      <c r="L25" s="85" t="s">
        <v>604</v>
      </c>
      <c r="M25" s="85"/>
      <c r="N25" s="85">
        <v>1</v>
      </c>
      <c r="O25" s="79" t="b">
        <v>1</v>
      </c>
      <c r="P25" s="79" t="b">
        <v>0</v>
      </c>
      <c r="Q25" s="78">
        <v>25</v>
      </c>
      <c r="R25" s="78">
        <v>1031</v>
      </c>
    </row>
    <row r="26" spans="2:18">
      <c r="B26" s="73">
        <f>IF(Facilities[[#This Row],[Active]]=TRUE,1,0)</f>
        <v>0</v>
      </c>
      <c r="C26" s="75" t="b">
        <v>0</v>
      </c>
      <c r="D26" s="73" t="s">
        <v>834</v>
      </c>
      <c r="E26" s="76" t="s">
        <v>790</v>
      </c>
      <c r="F26" s="76" t="s">
        <v>794</v>
      </c>
      <c r="G26" s="73" t="s">
        <v>151</v>
      </c>
      <c r="H26" s="77" t="s">
        <v>447</v>
      </c>
      <c r="I26" s="84" t="s">
        <v>587</v>
      </c>
      <c r="J26" s="84" t="s">
        <v>326</v>
      </c>
      <c r="K26" s="85">
        <v>1</v>
      </c>
      <c r="L26" s="85" t="s">
        <v>604</v>
      </c>
      <c r="M26" s="85"/>
      <c r="N26" s="85">
        <v>1</v>
      </c>
      <c r="O26" s="79" t="b">
        <v>1</v>
      </c>
      <c r="P26" s="79" t="b">
        <v>0</v>
      </c>
      <c r="Q26" s="78">
        <v>25</v>
      </c>
      <c r="R26" s="78">
        <v>1032</v>
      </c>
    </row>
    <row r="27" spans="2:18">
      <c r="B27" s="73">
        <f>IF(Facilities[[#This Row],[Active]]=TRUE,1,0)</f>
        <v>0</v>
      </c>
      <c r="C27" s="75" t="b">
        <v>0</v>
      </c>
      <c r="D27" s="73" t="s">
        <v>835</v>
      </c>
      <c r="E27" s="76" t="s">
        <v>790</v>
      </c>
      <c r="F27" s="76" t="s">
        <v>788</v>
      </c>
      <c r="G27" s="73" t="s">
        <v>151</v>
      </c>
      <c r="H27" s="77" t="s">
        <v>101</v>
      </c>
      <c r="I27" s="84" t="s">
        <v>587</v>
      </c>
      <c r="J27" s="84" t="s">
        <v>326</v>
      </c>
      <c r="K27" s="85">
        <v>1</v>
      </c>
      <c r="L27" s="85" t="s">
        <v>604</v>
      </c>
      <c r="M27" s="85"/>
      <c r="N27" s="85">
        <v>1</v>
      </c>
      <c r="O27" s="79" t="b">
        <v>1</v>
      </c>
      <c r="P27" s="79" t="b">
        <v>0</v>
      </c>
      <c r="Q27" s="78">
        <v>25</v>
      </c>
      <c r="R27" s="78">
        <v>1033</v>
      </c>
    </row>
    <row r="28" spans="2:18">
      <c r="B28" s="73">
        <f>IF(Facilities[[#This Row],[Active]]=TRUE,1,0)</f>
        <v>0</v>
      </c>
      <c r="C28" s="75" t="b">
        <v>0</v>
      </c>
      <c r="D28" s="73" t="s">
        <v>836</v>
      </c>
      <c r="E28" s="76" t="s">
        <v>790</v>
      </c>
      <c r="F28" s="76" t="s">
        <v>800</v>
      </c>
      <c r="G28" s="73" t="s">
        <v>153</v>
      </c>
      <c r="H28" s="77" t="s">
        <v>549</v>
      </c>
      <c r="I28" s="84" t="s">
        <v>587</v>
      </c>
      <c r="J28" s="84" t="s">
        <v>326</v>
      </c>
      <c r="K28" s="85">
        <v>1</v>
      </c>
      <c r="L28" s="85" t="s">
        <v>604</v>
      </c>
      <c r="M28" s="85"/>
      <c r="N28" s="85">
        <v>1</v>
      </c>
      <c r="O28" s="79" t="b">
        <v>1</v>
      </c>
      <c r="P28" s="79" t="b">
        <v>0</v>
      </c>
      <c r="Q28" s="78">
        <v>25</v>
      </c>
      <c r="R28" s="78">
        <v>1034</v>
      </c>
    </row>
    <row r="29" spans="2:18">
      <c r="B29" s="73">
        <f>IF(Facilities[[#This Row],[Active]]=TRUE,1,0)</f>
        <v>0</v>
      </c>
      <c r="C29" s="75" t="b">
        <v>0</v>
      </c>
      <c r="D29" s="73" t="s">
        <v>837</v>
      </c>
      <c r="E29" s="76" t="s">
        <v>790</v>
      </c>
      <c r="F29" s="76" t="s">
        <v>838</v>
      </c>
      <c r="G29" s="73" t="s">
        <v>151</v>
      </c>
      <c r="H29" s="77" t="s">
        <v>508</v>
      </c>
      <c r="I29" s="84" t="s">
        <v>587</v>
      </c>
      <c r="J29" s="84" t="s">
        <v>326</v>
      </c>
      <c r="K29" s="85">
        <v>1</v>
      </c>
      <c r="L29" s="85" t="s">
        <v>807</v>
      </c>
      <c r="M29" s="85"/>
      <c r="N29" s="85">
        <v>1</v>
      </c>
      <c r="O29" s="79" t="b">
        <v>1</v>
      </c>
      <c r="P29" s="79" t="b">
        <v>0</v>
      </c>
      <c r="Q29" s="78">
        <v>25</v>
      </c>
      <c r="R29" s="78">
        <v>1035</v>
      </c>
    </row>
    <row r="30" spans="2:18">
      <c r="B30" s="73">
        <f>IF(Facilities[[#This Row],[Active]]=TRUE,1,0)</f>
        <v>0</v>
      </c>
      <c r="C30" s="75" t="b">
        <v>0</v>
      </c>
      <c r="D30" s="73" t="s">
        <v>839</v>
      </c>
      <c r="E30" s="76" t="s">
        <v>790</v>
      </c>
      <c r="F30" s="76" t="s">
        <v>821</v>
      </c>
      <c r="G30" s="73" t="s">
        <v>153</v>
      </c>
      <c r="H30" s="77" t="s">
        <v>549</v>
      </c>
      <c r="I30" s="84" t="s">
        <v>587</v>
      </c>
      <c r="J30" s="84" t="s">
        <v>326</v>
      </c>
      <c r="K30" s="85">
        <v>1</v>
      </c>
      <c r="L30" s="85" t="s">
        <v>604</v>
      </c>
      <c r="M30" s="85"/>
      <c r="N30" s="85">
        <v>1</v>
      </c>
      <c r="O30" s="79" t="b">
        <v>1</v>
      </c>
      <c r="P30" s="79" t="b">
        <v>0</v>
      </c>
      <c r="Q30" s="78">
        <v>25</v>
      </c>
      <c r="R30" s="78">
        <v>1036</v>
      </c>
    </row>
    <row r="31" spans="2:18">
      <c r="B31" s="73">
        <f>IF(Facilities[[#This Row],[Active]]=TRUE,1,0)</f>
        <v>0</v>
      </c>
      <c r="C31" s="75" t="b">
        <v>0</v>
      </c>
      <c r="D31" s="73" t="s">
        <v>840</v>
      </c>
      <c r="E31" s="76" t="s">
        <v>841</v>
      </c>
      <c r="F31" s="76" t="s">
        <v>791</v>
      </c>
      <c r="G31" s="73" t="s">
        <v>145</v>
      </c>
      <c r="H31" s="77" t="s">
        <v>407</v>
      </c>
      <c r="I31" s="84" t="s">
        <v>587</v>
      </c>
      <c r="J31" s="84" t="s">
        <v>326</v>
      </c>
      <c r="K31" s="85">
        <v>1</v>
      </c>
      <c r="L31" s="85" t="s">
        <v>604</v>
      </c>
      <c r="M31" s="85"/>
      <c r="N31" s="85">
        <v>1</v>
      </c>
      <c r="O31" s="79" t="b">
        <v>1</v>
      </c>
      <c r="P31" s="79" t="b">
        <v>0</v>
      </c>
      <c r="Q31" s="78">
        <v>25</v>
      </c>
      <c r="R31" s="78">
        <v>1037</v>
      </c>
    </row>
    <row r="32" spans="2:18">
      <c r="B32" s="73">
        <f>IF(Facilities[[#This Row],[Active]]=TRUE,1,0)</f>
        <v>0</v>
      </c>
      <c r="C32" s="75" t="b">
        <v>0</v>
      </c>
      <c r="D32" s="73" t="s">
        <v>842</v>
      </c>
      <c r="E32" s="76" t="s">
        <v>843</v>
      </c>
      <c r="F32" s="76" t="s">
        <v>779</v>
      </c>
      <c r="G32" s="73" t="s">
        <v>161</v>
      </c>
      <c r="H32" s="77" t="s">
        <v>101</v>
      </c>
      <c r="I32" s="84" t="s">
        <v>587</v>
      </c>
      <c r="J32" s="84" t="s">
        <v>326</v>
      </c>
      <c r="K32" s="85">
        <v>1</v>
      </c>
      <c r="L32" s="85" t="s">
        <v>604</v>
      </c>
      <c r="M32" s="85"/>
      <c r="N32" s="85">
        <v>1</v>
      </c>
      <c r="O32" s="79" t="b">
        <v>1</v>
      </c>
      <c r="P32" s="79" t="b">
        <v>0</v>
      </c>
      <c r="Q32" s="78">
        <v>25</v>
      </c>
      <c r="R32" s="78">
        <v>1038</v>
      </c>
    </row>
    <row r="33" spans="2:18">
      <c r="B33" s="73">
        <f>IF(Facilities[[#This Row],[Active]]=TRUE,1,0)</f>
        <v>0</v>
      </c>
      <c r="C33" s="75" t="b">
        <v>0</v>
      </c>
      <c r="D33" s="73" t="s">
        <v>844</v>
      </c>
      <c r="E33" s="76" t="s">
        <v>845</v>
      </c>
      <c r="F33" s="76" t="s">
        <v>788</v>
      </c>
      <c r="G33" s="73" t="s">
        <v>161</v>
      </c>
      <c r="H33" s="77" t="s">
        <v>101</v>
      </c>
      <c r="I33" s="84" t="s">
        <v>587</v>
      </c>
      <c r="J33" s="84" t="s">
        <v>326</v>
      </c>
      <c r="K33" s="85">
        <v>1</v>
      </c>
      <c r="L33" s="85" t="s">
        <v>604</v>
      </c>
      <c r="M33" s="85"/>
      <c r="N33" s="85">
        <v>1</v>
      </c>
      <c r="O33" s="79" t="b">
        <v>1</v>
      </c>
      <c r="P33" s="79" t="b">
        <v>0</v>
      </c>
      <c r="Q33" s="78">
        <v>25</v>
      </c>
      <c r="R33" s="78">
        <v>1039</v>
      </c>
    </row>
    <row r="34" spans="2:18">
      <c r="B34" s="73">
        <f>IF(Facilities[[#This Row],[Active]]=TRUE,1,0)</f>
        <v>0</v>
      </c>
      <c r="C34" s="75" t="b">
        <v>0</v>
      </c>
      <c r="D34" s="73" t="s">
        <v>846</v>
      </c>
      <c r="E34" s="76" t="s">
        <v>847</v>
      </c>
      <c r="F34" s="76" t="s">
        <v>779</v>
      </c>
      <c r="G34" s="73" t="s">
        <v>168</v>
      </c>
      <c r="H34" s="77" t="s">
        <v>101</v>
      </c>
      <c r="I34" s="84" t="s">
        <v>587</v>
      </c>
      <c r="J34" s="84" t="s">
        <v>326</v>
      </c>
      <c r="K34" s="85">
        <v>1</v>
      </c>
      <c r="L34" s="85" t="s">
        <v>604</v>
      </c>
      <c r="M34" s="85"/>
      <c r="N34" s="85">
        <v>1</v>
      </c>
      <c r="O34" s="79" t="b">
        <v>1</v>
      </c>
      <c r="P34" s="79" t="b">
        <v>0</v>
      </c>
      <c r="Q34" s="78">
        <v>25</v>
      </c>
      <c r="R34" s="78">
        <v>1040</v>
      </c>
    </row>
    <row r="35" spans="2:18">
      <c r="B35" s="73">
        <f>IF(Facilities[[#This Row],[Active]]=TRUE,1,0)</f>
        <v>0</v>
      </c>
      <c r="C35" s="75" t="b">
        <v>0</v>
      </c>
      <c r="D35" s="73" t="s">
        <v>848</v>
      </c>
      <c r="E35" s="76" t="s">
        <v>849</v>
      </c>
      <c r="F35" s="76" t="s">
        <v>832</v>
      </c>
      <c r="G35" s="73" t="s">
        <v>145</v>
      </c>
      <c r="H35" s="77" t="s">
        <v>380</v>
      </c>
      <c r="I35" s="84" t="s">
        <v>587</v>
      </c>
      <c r="J35" s="84" t="s">
        <v>326</v>
      </c>
      <c r="K35" s="85">
        <v>1</v>
      </c>
      <c r="L35" s="85" t="s">
        <v>604</v>
      </c>
      <c r="M35" s="85"/>
      <c r="N35" s="85">
        <v>1</v>
      </c>
      <c r="O35" s="79" t="b">
        <v>1</v>
      </c>
      <c r="P35" s="79" t="b">
        <v>0</v>
      </c>
      <c r="Q35" s="78">
        <v>25</v>
      </c>
      <c r="R35" s="78">
        <v>1041</v>
      </c>
    </row>
    <row r="36" spans="2:18">
      <c r="B36" s="73">
        <f>IF(Facilities[[#This Row],[Active]]=TRUE,1,0)</f>
        <v>0</v>
      </c>
      <c r="C36" s="75" t="b">
        <v>0</v>
      </c>
      <c r="D36" s="73" t="s">
        <v>850</v>
      </c>
      <c r="E36" s="76" t="s">
        <v>790</v>
      </c>
      <c r="F36" s="76" t="s">
        <v>832</v>
      </c>
      <c r="G36" s="73" t="s">
        <v>153</v>
      </c>
      <c r="H36" s="77" t="s">
        <v>380</v>
      </c>
      <c r="I36" s="84" t="s">
        <v>587</v>
      </c>
      <c r="J36" s="84" t="s">
        <v>326</v>
      </c>
      <c r="K36" s="85">
        <v>1</v>
      </c>
      <c r="L36" s="85" t="s">
        <v>604</v>
      </c>
      <c r="M36" s="85"/>
      <c r="N36" s="85">
        <v>1</v>
      </c>
      <c r="O36" s="79" t="b">
        <v>1</v>
      </c>
      <c r="P36" s="79" t="b">
        <v>0</v>
      </c>
      <c r="Q36" s="78">
        <v>25</v>
      </c>
      <c r="R36" s="78">
        <v>1042</v>
      </c>
    </row>
    <row r="37" spans="2:18">
      <c r="B37" s="73">
        <f>IF(Facilities[[#This Row],[Active]]=TRUE,1,0)</f>
        <v>0</v>
      </c>
      <c r="C37" s="75" t="b">
        <v>0</v>
      </c>
      <c r="D37" s="73" t="s">
        <v>851</v>
      </c>
      <c r="E37" s="76" t="s">
        <v>790</v>
      </c>
      <c r="F37" s="76" t="s">
        <v>832</v>
      </c>
      <c r="G37" s="73" t="s">
        <v>153</v>
      </c>
      <c r="H37" s="77" t="s">
        <v>380</v>
      </c>
      <c r="I37" s="84" t="s">
        <v>587</v>
      </c>
      <c r="J37" s="84" t="s">
        <v>326</v>
      </c>
      <c r="K37" s="85">
        <v>1</v>
      </c>
      <c r="L37" s="85" t="s">
        <v>604</v>
      </c>
      <c r="M37" s="85"/>
      <c r="N37" s="85">
        <v>1</v>
      </c>
      <c r="O37" s="79" t="b">
        <v>1</v>
      </c>
      <c r="P37" s="79" t="b">
        <v>0</v>
      </c>
      <c r="Q37" s="78">
        <v>25</v>
      </c>
      <c r="R37" s="78">
        <v>1043</v>
      </c>
    </row>
    <row r="38" spans="2:18">
      <c r="B38" s="73">
        <f>IF(Facilities[[#This Row],[Active]]=TRUE,1,0)</f>
        <v>0</v>
      </c>
      <c r="C38" s="75" t="b">
        <v>0</v>
      </c>
      <c r="D38" s="73" t="s">
        <v>852</v>
      </c>
      <c r="E38" s="76" t="s">
        <v>790</v>
      </c>
      <c r="F38" s="76" t="s">
        <v>832</v>
      </c>
      <c r="G38" s="73" t="s">
        <v>151</v>
      </c>
      <c r="H38" s="77" t="s">
        <v>380</v>
      </c>
      <c r="I38" s="84" t="s">
        <v>587</v>
      </c>
      <c r="J38" s="84" t="s">
        <v>326</v>
      </c>
      <c r="K38" s="85">
        <v>1</v>
      </c>
      <c r="L38" s="85" t="s">
        <v>604</v>
      </c>
      <c r="M38" s="85"/>
      <c r="N38" s="85">
        <v>1</v>
      </c>
      <c r="O38" s="79" t="b">
        <v>1</v>
      </c>
      <c r="P38" s="79" t="b">
        <v>0</v>
      </c>
      <c r="Q38" s="78">
        <v>25</v>
      </c>
      <c r="R38" s="78">
        <v>1044</v>
      </c>
    </row>
    <row r="39" spans="2:18">
      <c r="B39" s="73">
        <f>IF(Facilities[[#This Row],[Active]]=TRUE,1,0)</f>
        <v>0</v>
      </c>
      <c r="C39" s="75" t="b">
        <v>0</v>
      </c>
      <c r="D39" s="73" t="s">
        <v>853</v>
      </c>
      <c r="E39" s="76" t="s">
        <v>854</v>
      </c>
      <c r="F39" s="76" t="s">
        <v>855</v>
      </c>
      <c r="G39" s="73" t="s">
        <v>159</v>
      </c>
      <c r="H39" s="77" t="s">
        <v>101</v>
      </c>
      <c r="I39" s="84" t="s">
        <v>587</v>
      </c>
      <c r="J39" s="84" t="s">
        <v>326</v>
      </c>
      <c r="K39" s="85">
        <v>1</v>
      </c>
      <c r="L39" s="85" t="s">
        <v>604</v>
      </c>
      <c r="M39" s="85"/>
      <c r="N39" s="85">
        <v>1</v>
      </c>
      <c r="O39" s="79" t="b">
        <v>1</v>
      </c>
      <c r="P39" s="79" t="b">
        <v>0</v>
      </c>
      <c r="Q39" s="78">
        <v>25</v>
      </c>
      <c r="R39" s="78">
        <v>1045</v>
      </c>
    </row>
    <row r="40" spans="2:18">
      <c r="B40" s="73">
        <f>IF(Facilities[[#This Row],[Active]]=TRUE,1,0)</f>
        <v>0</v>
      </c>
      <c r="C40" s="75" t="b">
        <v>0</v>
      </c>
      <c r="D40" s="73" t="s">
        <v>856</v>
      </c>
      <c r="E40" s="76" t="s">
        <v>857</v>
      </c>
      <c r="F40" s="76" t="s">
        <v>803</v>
      </c>
      <c r="G40" s="73" t="s">
        <v>159</v>
      </c>
      <c r="H40" s="77" t="s">
        <v>101</v>
      </c>
      <c r="I40" s="84" t="s">
        <v>587</v>
      </c>
      <c r="J40" s="84" t="s">
        <v>326</v>
      </c>
      <c r="K40" s="85">
        <v>1</v>
      </c>
      <c r="L40" s="85" t="s">
        <v>604</v>
      </c>
      <c r="M40" s="85"/>
      <c r="N40" s="85">
        <v>1</v>
      </c>
      <c r="O40" s="79" t="b">
        <v>1</v>
      </c>
      <c r="P40" s="79" t="b">
        <v>0</v>
      </c>
      <c r="Q40" s="78">
        <v>25</v>
      </c>
      <c r="R40" s="78">
        <v>1046</v>
      </c>
    </row>
    <row r="41" spans="2:18">
      <c r="B41" s="73">
        <f>IF(Facilities[[#This Row],[Active]]=TRUE,1,0)</f>
        <v>0</v>
      </c>
      <c r="C41" s="75" t="b">
        <v>0</v>
      </c>
      <c r="D41" s="73" t="s">
        <v>858</v>
      </c>
      <c r="E41" s="76" t="s">
        <v>859</v>
      </c>
      <c r="F41" s="76" t="s">
        <v>860</v>
      </c>
      <c r="G41" s="73" t="s">
        <v>159</v>
      </c>
      <c r="H41" s="77" t="s">
        <v>101</v>
      </c>
      <c r="I41" s="84" t="s">
        <v>587</v>
      </c>
      <c r="J41" s="84" t="s">
        <v>326</v>
      </c>
      <c r="K41" s="85">
        <v>1</v>
      </c>
      <c r="L41" s="85" t="s">
        <v>604</v>
      </c>
      <c r="M41" s="85"/>
      <c r="N41" s="85">
        <v>1</v>
      </c>
      <c r="O41" s="79" t="b">
        <v>1</v>
      </c>
      <c r="P41" s="79" t="b">
        <v>0</v>
      </c>
      <c r="Q41" s="78">
        <v>25</v>
      </c>
      <c r="R41" s="78">
        <v>1047</v>
      </c>
    </row>
    <row r="42" spans="2:18">
      <c r="B42" s="73">
        <f>IF(Facilities[[#This Row],[Active]]=TRUE,1,0)</f>
        <v>0</v>
      </c>
      <c r="C42" s="75" t="b">
        <v>0</v>
      </c>
      <c r="D42" s="73" t="s">
        <v>861</v>
      </c>
      <c r="E42" s="76" t="s">
        <v>862</v>
      </c>
      <c r="F42" s="76" t="s">
        <v>791</v>
      </c>
      <c r="G42" s="73" t="s">
        <v>145</v>
      </c>
      <c r="H42" s="77" t="s">
        <v>407</v>
      </c>
      <c r="I42" s="84" t="s">
        <v>587</v>
      </c>
      <c r="J42" s="84" t="s">
        <v>326</v>
      </c>
      <c r="K42" s="85">
        <v>1</v>
      </c>
      <c r="L42" s="85" t="s">
        <v>604</v>
      </c>
      <c r="M42" s="85"/>
      <c r="N42" s="85">
        <v>1</v>
      </c>
      <c r="O42" s="79" t="b">
        <v>1</v>
      </c>
      <c r="P42" s="79" t="b">
        <v>0</v>
      </c>
      <c r="Q42" s="78">
        <v>25</v>
      </c>
      <c r="R42" s="78">
        <v>1048</v>
      </c>
    </row>
    <row r="43" spans="2:18">
      <c r="B43" s="73">
        <f>IF(Facilities[[#This Row],[Active]]=TRUE,1,0)</f>
        <v>0</v>
      </c>
      <c r="C43" s="75" t="b">
        <v>0</v>
      </c>
      <c r="D43" s="73" t="s">
        <v>863</v>
      </c>
      <c r="E43" s="76" t="s">
        <v>864</v>
      </c>
      <c r="F43" s="76" t="s">
        <v>865</v>
      </c>
      <c r="G43" s="73" t="s">
        <v>145</v>
      </c>
      <c r="H43" s="77" t="s">
        <v>407</v>
      </c>
      <c r="I43" s="84" t="s">
        <v>587</v>
      </c>
      <c r="J43" s="84" t="s">
        <v>326</v>
      </c>
      <c r="K43" s="85">
        <v>1</v>
      </c>
      <c r="L43" s="85" t="s">
        <v>604</v>
      </c>
      <c r="M43" s="85"/>
      <c r="N43" s="85">
        <v>1</v>
      </c>
      <c r="O43" s="79" t="b">
        <v>1</v>
      </c>
      <c r="P43" s="79" t="b">
        <v>0</v>
      </c>
      <c r="Q43" s="78">
        <v>25</v>
      </c>
      <c r="R43" s="78">
        <v>1049</v>
      </c>
    </row>
    <row r="44" spans="2:18">
      <c r="B44" s="73">
        <f>IF(Facilities[[#This Row],[Active]]=TRUE,1,0)</f>
        <v>0</v>
      </c>
      <c r="C44" s="75" t="b">
        <v>0</v>
      </c>
      <c r="D44" s="73" t="s">
        <v>866</v>
      </c>
      <c r="E44" s="76" t="s">
        <v>829</v>
      </c>
      <c r="F44" s="76" t="s">
        <v>785</v>
      </c>
      <c r="G44" s="73" t="s">
        <v>155</v>
      </c>
      <c r="H44" s="77" t="s">
        <v>101</v>
      </c>
      <c r="I44" s="84" t="s">
        <v>587</v>
      </c>
      <c r="J44" s="84" t="s">
        <v>326</v>
      </c>
      <c r="K44" s="85">
        <v>1</v>
      </c>
      <c r="L44" s="85" t="s">
        <v>604</v>
      </c>
      <c r="M44" s="85"/>
      <c r="N44" s="85">
        <v>1</v>
      </c>
      <c r="O44" s="79" t="b">
        <v>1</v>
      </c>
      <c r="P44" s="79" t="b">
        <v>0</v>
      </c>
      <c r="Q44" s="78">
        <v>25</v>
      </c>
      <c r="R44" s="78">
        <v>1050</v>
      </c>
    </row>
    <row r="45" spans="2:18">
      <c r="B45" s="73">
        <f>IF(Facilities[[#This Row],[Active]]=TRUE,1,0)</f>
        <v>0</v>
      </c>
      <c r="C45" s="75" t="b">
        <v>0</v>
      </c>
      <c r="D45" s="73" t="s">
        <v>867</v>
      </c>
      <c r="E45" s="76" t="s">
        <v>868</v>
      </c>
      <c r="F45" s="76" t="s">
        <v>869</v>
      </c>
      <c r="G45" s="73" t="s">
        <v>163</v>
      </c>
      <c r="H45" s="77" t="s">
        <v>101</v>
      </c>
      <c r="I45" s="84" t="s">
        <v>587</v>
      </c>
      <c r="J45" s="84" t="s">
        <v>326</v>
      </c>
      <c r="K45" s="85">
        <v>1</v>
      </c>
      <c r="L45" s="85" t="s">
        <v>604</v>
      </c>
      <c r="M45" s="85"/>
      <c r="N45" s="85">
        <v>1</v>
      </c>
      <c r="O45" s="79" t="b">
        <v>1</v>
      </c>
      <c r="P45" s="79" t="b">
        <v>0</v>
      </c>
      <c r="Q45" s="78">
        <v>25</v>
      </c>
      <c r="R45" s="78">
        <v>1051</v>
      </c>
    </row>
    <row r="46" spans="2:18">
      <c r="B46" s="73">
        <f>IF(Facilities[[#This Row],[Active]]=TRUE,1,0)</f>
        <v>0</v>
      </c>
      <c r="C46" s="75" t="b">
        <v>0</v>
      </c>
      <c r="D46" s="73" t="s">
        <v>870</v>
      </c>
      <c r="E46" s="76" t="s">
        <v>871</v>
      </c>
      <c r="F46" s="76" t="s">
        <v>872</v>
      </c>
      <c r="G46" s="73" t="s">
        <v>145</v>
      </c>
      <c r="H46" s="77" t="s">
        <v>101</v>
      </c>
      <c r="I46" s="84" t="s">
        <v>587</v>
      </c>
      <c r="J46" s="84" t="s">
        <v>326</v>
      </c>
      <c r="K46" s="85">
        <v>1</v>
      </c>
      <c r="L46" s="85" t="s">
        <v>604</v>
      </c>
      <c r="M46" s="85"/>
      <c r="N46" s="85">
        <v>1</v>
      </c>
      <c r="O46" s="79" t="b">
        <v>1</v>
      </c>
      <c r="P46" s="79" t="b">
        <v>0</v>
      </c>
      <c r="Q46" s="78">
        <v>25</v>
      </c>
      <c r="R46" s="78">
        <v>1052</v>
      </c>
    </row>
    <row r="47" spans="2:18">
      <c r="B47" s="73">
        <f>IF(Facilities[[#This Row],[Active]]=TRUE,1,0)</f>
        <v>0</v>
      </c>
      <c r="C47" s="75" t="b">
        <v>0</v>
      </c>
      <c r="D47" s="73" t="s">
        <v>873</v>
      </c>
      <c r="E47" s="76" t="s">
        <v>874</v>
      </c>
      <c r="F47" s="76" t="s">
        <v>875</v>
      </c>
      <c r="G47" s="73" t="s">
        <v>163</v>
      </c>
      <c r="H47" s="77" t="s">
        <v>549</v>
      </c>
      <c r="I47" s="84" t="s">
        <v>587</v>
      </c>
      <c r="J47" s="84" t="s">
        <v>326</v>
      </c>
      <c r="K47" s="85">
        <v>1</v>
      </c>
      <c r="L47" s="85" t="s">
        <v>604</v>
      </c>
      <c r="M47" s="85"/>
      <c r="N47" s="85">
        <v>1</v>
      </c>
      <c r="O47" s="79" t="b">
        <v>1</v>
      </c>
      <c r="P47" s="79" t="b">
        <v>0</v>
      </c>
      <c r="Q47" s="78">
        <v>25</v>
      </c>
      <c r="R47" s="78">
        <v>1053</v>
      </c>
    </row>
    <row r="48" spans="2:18">
      <c r="B48" s="73">
        <f>IF(Facilities[[#This Row],[Active]]=TRUE,1,0)</f>
        <v>0</v>
      </c>
      <c r="C48" s="75" t="b">
        <v>0</v>
      </c>
      <c r="D48" s="73" t="s">
        <v>876</v>
      </c>
      <c r="E48" s="76" t="s">
        <v>871</v>
      </c>
      <c r="F48" s="76" t="s">
        <v>877</v>
      </c>
      <c r="G48" s="73" t="s">
        <v>163</v>
      </c>
      <c r="H48" s="77" t="s">
        <v>549</v>
      </c>
      <c r="I48" s="84" t="s">
        <v>587</v>
      </c>
      <c r="J48" s="84" t="s">
        <v>326</v>
      </c>
      <c r="K48" s="85">
        <v>1</v>
      </c>
      <c r="L48" s="85" t="s">
        <v>604</v>
      </c>
      <c r="M48" s="85"/>
      <c r="N48" s="85">
        <v>1</v>
      </c>
      <c r="O48" s="79" t="b">
        <v>1</v>
      </c>
      <c r="P48" s="79" t="b">
        <v>0</v>
      </c>
      <c r="Q48" s="78">
        <v>25</v>
      </c>
      <c r="R48" s="78">
        <v>1054</v>
      </c>
    </row>
    <row r="49" spans="2:18">
      <c r="B49" s="73">
        <f>IF(Facilities[[#This Row],[Active]]=TRUE,1,0)</f>
        <v>0</v>
      </c>
      <c r="C49" s="75" t="b">
        <v>0</v>
      </c>
      <c r="D49" s="73" t="s">
        <v>878</v>
      </c>
      <c r="E49" s="76" t="s">
        <v>879</v>
      </c>
      <c r="F49" s="76" t="s">
        <v>880</v>
      </c>
      <c r="G49" s="73" t="s">
        <v>163</v>
      </c>
      <c r="H49" s="77" t="s">
        <v>549</v>
      </c>
      <c r="I49" s="84" t="s">
        <v>587</v>
      </c>
      <c r="J49" s="84" t="s">
        <v>326</v>
      </c>
      <c r="K49" s="85">
        <v>1</v>
      </c>
      <c r="L49" s="85" t="s">
        <v>604</v>
      </c>
      <c r="M49" s="85"/>
      <c r="N49" s="85">
        <v>1</v>
      </c>
      <c r="O49" s="79" t="b">
        <v>1</v>
      </c>
      <c r="P49" s="79" t="b">
        <v>0</v>
      </c>
      <c r="Q49" s="78">
        <v>25</v>
      </c>
      <c r="R49" s="78">
        <v>1055</v>
      </c>
    </row>
    <row r="50" spans="2:18">
      <c r="B50" s="73">
        <f>IF(Facilities[[#This Row],[Active]]=TRUE,1,0)</f>
        <v>0</v>
      </c>
      <c r="C50" s="75" t="b">
        <v>0</v>
      </c>
      <c r="D50" s="73" t="s">
        <v>881</v>
      </c>
      <c r="E50" s="76" t="s">
        <v>882</v>
      </c>
      <c r="F50" s="76" t="s">
        <v>883</v>
      </c>
      <c r="G50" s="73" t="s">
        <v>159</v>
      </c>
      <c r="H50" s="77" t="s">
        <v>549</v>
      </c>
      <c r="I50" s="84" t="s">
        <v>587</v>
      </c>
      <c r="J50" s="84" t="s">
        <v>326</v>
      </c>
      <c r="K50" s="85">
        <v>1</v>
      </c>
      <c r="L50" s="85" t="s">
        <v>604</v>
      </c>
      <c r="M50" s="85"/>
      <c r="N50" s="85">
        <v>1</v>
      </c>
      <c r="O50" s="79" t="b">
        <v>1</v>
      </c>
      <c r="P50" s="79" t="b">
        <v>0</v>
      </c>
      <c r="Q50" s="78">
        <v>25</v>
      </c>
      <c r="R50" s="78">
        <v>1056</v>
      </c>
    </row>
    <row r="51" spans="2:18">
      <c r="B51" s="73">
        <f>IF(Facilities[[#This Row],[Active]]=TRUE,1,0)</f>
        <v>0</v>
      </c>
      <c r="C51" s="75" t="b">
        <v>0</v>
      </c>
      <c r="D51" s="73" t="s">
        <v>884</v>
      </c>
      <c r="E51" s="76" t="s">
        <v>885</v>
      </c>
      <c r="F51" s="76" t="s">
        <v>886</v>
      </c>
      <c r="G51" s="73" t="s">
        <v>111</v>
      </c>
      <c r="H51" s="77" t="s">
        <v>508</v>
      </c>
      <c r="I51" s="84" t="s">
        <v>587</v>
      </c>
      <c r="J51" s="84" t="s">
        <v>326</v>
      </c>
      <c r="K51" s="85">
        <v>1</v>
      </c>
      <c r="L51" s="85" t="s">
        <v>807</v>
      </c>
      <c r="M51" s="85"/>
      <c r="N51" s="85">
        <v>1</v>
      </c>
      <c r="O51" s="79" t="b">
        <v>1</v>
      </c>
      <c r="P51" s="79" t="b">
        <v>0</v>
      </c>
      <c r="Q51" s="78">
        <v>25</v>
      </c>
      <c r="R51" s="78">
        <v>1057</v>
      </c>
    </row>
    <row r="52" spans="2:18">
      <c r="B52" s="73">
        <f>IF(Facilities[[#This Row],[Active]]=TRUE,1,0)</f>
        <v>0</v>
      </c>
      <c r="C52" s="75" t="b">
        <v>0</v>
      </c>
      <c r="D52" s="73" t="s">
        <v>887</v>
      </c>
      <c r="E52" s="76" t="s">
        <v>888</v>
      </c>
      <c r="F52" s="76" t="s">
        <v>889</v>
      </c>
      <c r="G52" s="73" t="s">
        <v>170</v>
      </c>
      <c r="H52" s="77" t="s">
        <v>508</v>
      </c>
      <c r="I52" s="84" t="s">
        <v>587</v>
      </c>
      <c r="J52" s="84" t="s">
        <v>326</v>
      </c>
      <c r="K52" s="85">
        <v>1</v>
      </c>
      <c r="L52" s="85" t="s">
        <v>807</v>
      </c>
      <c r="M52" s="85"/>
      <c r="N52" s="85">
        <v>1</v>
      </c>
      <c r="O52" s="79" t="b">
        <v>1</v>
      </c>
      <c r="P52" s="79" t="b">
        <v>0</v>
      </c>
      <c r="Q52" s="78">
        <v>25</v>
      </c>
      <c r="R52" s="78">
        <v>1058</v>
      </c>
    </row>
    <row r="53" spans="2:18">
      <c r="B53" s="73">
        <f>IF(Facilities[[#This Row],[Active]]=TRUE,1,0)</f>
        <v>0</v>
      </c>
      <c r="C53" s="75" t="b">
        <v>0</v>
      </c>
      <c r="D53" s="73" t="s">
        <v>890</v>
      </c>
      <c r="E53" s="76" t="s">
        <v>891</v>
      </c>
      <c r="F53" s="76" t="s">
        <v>838</v>
      </c>
      <c r="G53" s="73" t="s">
        <v>147</v>
      </c>
      <c r="H53" s="77" t="s">
        <v>508</v>
      </c>
      <c r="I53" s="84" t="s">
        <v>587</v>
      </c>
      <c r="J53" s="84" t="s">
        <v>326</v>
      </c>
      <c r="K53" s="85">
        <v>1</v>
      </c>
      <c r="L53" s="85" t="s">
        <v>807</v>
      </c>
      <c r="M53" s="85"/>
      <c r="N53" s="85">
        <v>1</v>
      </c>
      <c r="O53" s="79" t="b">
        <v>1</v>
      </c>
      <c r="P53" s="79" t="b">
        <v>0</v>
      </c>
      <c r="Q53" s="78">
        <v>25</v>
      </c>
      <c r="R53" s="78">
        <v>1059</v>
      </c>
    </row>
    <row r="54" spans="2:18">
      <c r="B54" s="73">
        <f>IF(Facilities[[#This Row],[Active]]=TRUE,1,0)</f>
        <v>0</v>
      </c>
      <c r="C54" s="75" t="b">
        <v>0</v>
      </c>
      <c r="D54" s="73" t="s">
        <v>892</v>
      </c>
      <c r="E54" s="76" t="s">
        <v>893</v>
      </c>
      <c r="F54" s="76" t="s">
        <v>815</v>
      </c>
      <c r="G54" s="73" t="s">
        <v>147</v>
      </c>
      <c r="H54" s="77" t="s">
        <v>508</v>
      </c>
      <c r="I54" s="84" t="s">
        <v>587</v>
      </c>
      <c r="J54" s="84" t="s">
        <v>326</v>
      </c>
      <c r="K54" s="85">
        <v>1</v>
      </c>
      <c r="L54" s="85" t="s">
        <v>807</v>
      </c>
      <c r="M54" s="85"/>
      <c r="N54" s="85">
        <v>1</v>
      </c>
      <c r="O54" s="79" t="b">
        <v>1</v>
      </c>
      <c r="P54" s="79" t="b">
        <v>0</v>
      </c>
      <c r="Q54" s="78">
        <v>25</v>
      </c>
      <c r="R54" s="78">
        <v>1060</v>
      </c>
    </row>
    <row r="55" spans="2:18">
      <c r="B55" s="73">
        <f>IF(Facilities[[#This Row],[Active]]=TRUE,1,0)</f>
        <v>0</v>
      </c>
      <c r="C55" s="75" t="b">
        <v>0</v>
      </c>
      <c r="D55" s="73" t="s">
        <v>894</v>
      </c>
      <c r="E55" s="76" t="s">
        <v>895</v>
      </c>
      <c r="F55" s="76" t="s">
        <v>896</v>
      </c>
      <c r="G55" s="73" t="s">
        <v>159</v>
      </c>
      <c r="H55" s="77" t="s">
        <v>508</v>
      </c>
      <c r="I55" s="84" t="s">
        <v>587</v>
      </c>
      <c r="J55" s="84" t="s">
        <v>326</v>
      </c>
      <c r="K55" s="85">
        <v>1</v>
      </c>
      <c r="L55" s="85" t="s">
        <v>807</v>
      </c>
      <c r="M55" s="85"/>
      <c r="N55" s="85">
        <v>1</v>
      </c>
      <c r="O55" s="79" t="b">
        <v>1</v>
      </c>
      <c r="P55" s="79" t="b">
        <v>0</v>
      </c>
      <c r="Q55" s="78">
        <v>25</v>
      </c>
      <c r="R55" s="78">
        <v>1061</v>
      </c>
    </row>
    <row r="56" spans="2:18">
      <c r="B56" s="73">
        <f>IF(Facilities[[#This Row],[Active]]=TRUE,1,0)</f>
        <v>0</v>
      </c>
      <c r="C56" s="75" t="b">
        <v>0</v>
      </c>
      <c r="D56" s="73" t="s">
        <v>897</v>
      </c>
      <c r="E56" s="76" t="s">
        <v>898</v>
      </c>
      <c r="F56" s="76" t="s">
        <v>899</v>
      </c>
      <c r="G56" s="73" t="s">
        <v>111</v>
      </c>
      <c r="H56" s="77" t="s">
        <v>537</v>
      </c>
      <c r="I56" s="84" t="s">
        <v>587</v>
      </c>
      <c r="J56" s="84" t="s">
        <v>326</v>
      </c>
      <c r="K56" s="85">
        <v>1</v>
      </c>
      <c r="L56" s="85" t="s">
        <v>807</v>
      </c>
      <c r="M56" s="85"/>
      <c r="N56" s="85">
        <v>1</v>
      </c>
      <c r="O56" s="79" t="b">
        <v>1</v>
      </c>
      <c r="P56" s="79" t="b">
        <v>0</v>
      </c>
      <c r="Q56" s="78">
        <v>25</v>
      </c>
      <c r="R56" s="78">
        <v>1062</v>
      </c>
    </row>
    <row r="57" spans="2:18">
      <c r="B57" s="73">
        <f>IF(Facilities[[#This Row],[Active]]=TRUE,1,0)</f>
        <v>0</v>
      </c>
      <c r="C57" s="75" t="b">
        <v>0</v>
      </c>
      <c r="D57" s="73" t="s">
        <v>900</v>
      </c>
      <c r="E57" s="76" t="s">
        <v>901</v>
      </c>
      <c r="F57" s="76" t="s">
        <v>899</v>
      </c>
      <c r="G57" s="73" t="s">
        <v>111</v>
      </c>
      <c r="H57" s="77" t="s">
        <v>537</v>
      </c>
      <c r="I57" s="84" t="s">
        <v>587</v>
      </c>
      <c r="J57" s="84" t="s">
        <v>326</v>
      </c>
      <c r="K57" s="85">
        <v>1</v>
      </c>
      <c r="L57" s="85" t="s">
        <v>807</v>
      </c>
      <c r="M57" s="85"/>
      <c r="N57" s="85">
        <v>1</v>
      </c>
      <c r="O57" s="79" t="b">
        <v>1</v>
      </c>
      <c r="P57" s="79" t="b">
        <v>0</v>
      </c>
      <c r="Q57" s="78">
        <v>25</v>
      </c>
      <c r="R57" s="78">
        <v>1063</v>
      </c>
    </row>
    <row r="58" spans="2:18">
      <c r="B58" s="73">
        <f>IF(Facilities[[#This Row],[Active]]=TRUE,1,0)</f>
        <v>0</v>
      </c>
      <c r="C58" s="75" t="b">
        <v>0</v>
      </c>
      <c r="D58" s="73" t="s">
        <v>902</v>
      </c>
      <c r="E58" s="76" t="s">
        <v>903</v>
      </c>
      <c r="F58" s="76" t="s">
        <v>499</v>
      </c>
      <c r="G58" s="73" t="s">
        <v>159</v>
      </c>
      <c r="H58" s="77" t="s">
        <v>500</v>
      </c>
      <c r="I58" s="84" t="s">
        <v>587</v>
      </c>
      <c r="J58" s="84" t="s">
        <v>326</v>
      </c>
      <c r="K58" s="85">
        <v>1</v>
      </c>
      <c r="L58" s="85" t="s">
        <v>604</v>
      </c>
      <c r="M58" s="85"/>
      <c r="N58" s="85">
        <v>1</v>
      </c>
      <c r="O58" s="79" t="b">
        <v>1</v>
      </c>
      <c r="P58" s="79" t="b">
        <v>0</v>
      </c>
      <c r="Q58" s="78">
        <v>25</v>
      </c>
      <c r="R58" s="78">
        <v>1064</v>
      </c>
    </row>
    <row r="59" spans="2:18">
      <c r="B59" s="73">
        <f>IF(Facilities[[#This Row],[Active]]=TRUE,1,0)</f>
        <v>0</v>
      </c>
      <c r="C59" s="75" t="b">
        <v>0</v>
      </c>
      <c r="D59" s="73" t="s">
        <v>904</v>
      </c>
      <c r="E59" s="76" t="s">
        <v>790</v>
      </c>
      <c r="F59" s="76" t="s">
        <v>905</v>
      </c>
      <c r="G59" s="73" t="s">
        <v>151</v>
      </c>
      <c r="H59" s="77" t="s">
        <v>580</v>
      </c>
      <c r="I59" s="84" t="s">
        <v>587</v>
      </c>
      <c r="J59" s="84" t="s">
        <v>326</v>
      </c>
      <c r="K59" s="85">
        <v>1</v>
      </c>
      <c r="L59" s="85" t="s">
        <v>604</v>
      </c>
      <c r="M59" s="85"/>
      <c r="N59" s="85">
        <v>1</v>
      </c>
      <c r="O59" s="79" t="b">
        <v>1</v>
      </c>
      <c r="P59" s="79" t="b">
        <v>0</v>
      </c>
      <c r="Q59" s="78">
        <v>25</v>
      </c>
      <c r="R59" s="78">
        <v>1065</v>
      </c>
    </row>
    <row r="60" spans="2:18">
      <c r="B60" s="73">
        <f>IF(Facilities[[#This Row],[Active]]=TRUE,1,0)</f>
        <v>0</v>
      </c>
      <c r="C60" s="75" t="b">
        <v>0</v>
      </c>
      <c r="D60" s="73" t="s">
        <v>906</v>
      </c>
      <c r="E60" s="76" t="s">
        <v>790</v>
      </c>
      <c r="F60" s="76" t="s">
        <v>907</v>
      </c>
      <c r="G60" s="73" t="s">
        <v>151</v>
      </c>
      <c r="H60" s="77" t="s">
        <v>529</v>
      </c>
      <c r="I60" s="84" t="s">
        <v>587</v>
      </c>
      <c r="J60" s="84" t="s">
        <v>326</v>
      </c>
      <c r="K60" s="85">
        <v>1</v>
      </c>
      <c r="L60" s="85" t="s">
        <v>604</v>
      </c>
      <c r="M60" s="85"/>
      <c r="N60" s="85">
        <v>1</v>
      </c>
      <c r="O60" s="79" t="b">
        <v>1</v>
      </c>
      <c r="P60" s="79" t="b">
        <v>0</v>
      </c>
      <c r="Q60" s="78">
        <v>25</v>
      </c>
      <c r="R60" s="78">
        <v>1066</v>
      </c>
    </row>
    <row r="61" spans="2:18">
      <c r="B61" s="73">
        <f>IF(Facilities[[#This Row],[Active]]=TRUE,1,0)</f>
        <v>0</v>
      </c>
      <c r="C61" s="75" t="b">
        <v>0</v>
      </c>
      <c r="D61" s="73" t="s">
        <v>908</v>
      </c>
      <c r="E61" s="76" t="s">
        <v>909</v>
      </c>
      <c r="F61" s="76" t="s">
        <v>910</v>
      </c>
      <c r="G61" s="73" t="s">
        <v>172</v>
      </c>
      <c r="H61" s="77" t="s">
        <v>529</v>
      </c>
      <c r="I61" s="84" t="s">
        <v>587</v>
      </c>
      <c r="J61" s="84" t="s">
        <v>326</v>
      </c>
      <c r="K61" s="85">
        <v>1</v>
      </c>
      <c r="L61" s="85" t="s">
        <v>604</v>
      </c>
      <c r="M61" s="85"/>
      <c r="N61" s="85">
        <v>1</v>
      </c>
      <c r="O61" s="79" t="b">
        <v>1</v>
      </c>
      <c r="P61" s="79" t="b">
        <v>0</v>
      </c>
      <c r="Q61" s="78">
        <v>25</v>
      </c>
      <c r="R61" s="78">
        <v>1067</v>
      </c>
    </row>
    <row r="62" spans="2:18">
      <c r="B62" s="73">
        <f>IF(Facilities[[#This Row],[Active]]=TRUE,1,0)</f>
        <v>0</v>
      </c>
      <c r="C62" s="75" t="b">
        <v>0</v>
      </c>
      <c r="D62" s="73" t="s">
        <v>911</v>
      </c>
      <c r="E62" s="76" t="s">
        <v>176</v>
      </c>
      <c r="F62" s="76" t="s">
        <v>912</v>
      </c>
      <c r="G62" s="73" t="s">
        <v>157</v>
      </c>
      <c r="H62" s="77" t="s">
        <v>473</v>
      </c>
      <c r="I62" s="84" t="s">
        <v>587</v>
      </c>
      <c r="J62" s="84" t="s">
        <v>326</v>
      </c>
      <c r="K62" s="85">
        <v>1</v>
      </c>
      <c r="L62" s="85" t="s">
        <v>604</v>
      </c>
      <c r="M62" s="85"/>
      <c r="N62" s="85">
        <v>1</v>
      </c>
      <c r="O62" s="79" t="b">
        <v>1</v>
      </c>
      <c r="P62" s="79" t="b">
        <v>0</v>
      </c>
      <c r="Q62" s="78">
        <v>25</v>
      </c>
      <c r="R62" s="78">
        <v>1068</v>
      </c>
    </row>
    <row r="63" spans="2:18">
      <c r="B63" s="73">
        <f>IF(Facilities[[#This Row],[Active]]=TRUE,1,0)</f>
        <v>0</v>
      </c>
      <c r="C63" s="75" t="b">
        <v>0</v>
      </c>
      <c r="D63" s="73" t="s">
        <v>913</v>
      </c>
      <c r="E63" s="76" t="s">
        <v>176</v>
      </c>
      <c r="F63" s="76" t="s">
        <v>914</v>
      </c>
      <c r="G63" s="73" t="s">
        <v>168</v>
      </c>
      <c r="H63" s="77" t="s">
        <v>480</v>
      </c>
      <c r="I63" s="84" t="s">
        <v>587</v>
      </c>
      <c r="J63" s="84" t="s">
        <v>326</v>
      </c>
      <c r="K63" s="85">
        <v>1</v>
      </c>
      <c r="L63" s="85" t="s">
        <v>604</v>
      </c>
      <c r="M63" s="85"/>
      <c r="N63" s="85">
        <v>1</v>
      </c>
      <c r="O63" s="79" t="b">
        <v>1</v>
      </c>
      <c r="P63" s="79" t="b">
        <v>0</v>
      </c>
      <c r="Q63" s="78">
        <v>25</v>
      </c>
      <c r="R63" s="78">
        <v>1069</v>
      </c>
    </row>
    <row r="64" spans="2:18">
      <c r="B64" s="73">
        <f>IF(Facilities[[#This Row],[Active]]=TRUE,1,0)</f>
        <v>0</v>
      </c>
      <c r="C64" s="75" t="b">
        <v>0</v>
      </c>
      <c r="D64" s="73" t="s">
        <v>915</v>
      </c>
      <c r="E64" s="76" t="s">
        <v>790</v>
      </c>
      <c r="F64" s="76" t="s">
        <v>916</v>
      </c>
      <c r="G64" s="73" t="s">
        <v>151</v>
      </c>
      <c r="H64" s="77" t="s">
        <v>480</v>
      </c>
      <c r="I64" s="84" t="s">
        <v>587</v>
      </c>
      <c r="J64" s="84" t="s">
        <v>326</v>
      </c>
      <c r="K64" s="85">
        <v>1</v>
      </c>
      <c r="L64" s="85" t="s">
        <v>604</v>
      </c>
      <c r="M64" s="85"/>
      <c r="N64" s="85">
        <v>1</v>
      </c>
      <c r="O64" s="79" t="b">
        <v>1</v>
      </c>
      <c r="P64" s="79" t="b">
        <v>0</v>
      </c>
      <c r="Q64" s="78">
        <v>25</v>
      </c>
      <c r="R64" s="78">
        <v>1070</v>
      </c>
    </row>
    <row r="65" spans="2:18">
      <c r="B65" s="73">
        <f>IF(Facilities[[#This Row],[Active]]=TRUE,1,0)</f>
        <v>0</v>
      </c>
      <c r="C65" s="75" t="b">
        <v>0</v>
      </c>
      <c r="D65" s="73" t="s">
        <v>917</v>
      </c>
      <c r="E65" s="76" t="s">
        <v>790</v>
      </c>
      <c r="F65" s="76" t="s">
        <v>918</v>
      </c>
      <c r="G65" s="73" t="s">
        <v>151</v>
      </c>
      <c r="H65" s="77" t="s">
        <v>473</v>
      </c>
      <c r="I65" s="84" t="s">
        <v>590</v>
      </c>
      <c r="J65" s="84" t="s">
        <v>326</v>
      </c>
      <c r="K65" s="85">
        <v>1</v>
      </c>
      <c r="L65" s="85" t="s">
        <v>604</v>
      </c>
      <c r="M65" s="85"/>
      <c r="N65" s="85">
        <v>1</v>
      </c>
      <c r="O65" s="79" t="b">
        <v>1</v>
      </c>
      <c r="P65" s="79" t="b">
        <v>0</v>
      </c>
      <c r="Q65" s="78">
        <v>25</v>
      </c>
      <c r="R65" s="78">
        <v>1071</v>
      </c>
    </row>
    <row r="66" spans="2:18">
      <c r="B66" s="73">
        <f>IF(Facilities[[#This Row],[Active]]=TRUE,1,0)</f>
        <v>0</v>
      </c>
      <c r="C66" s="75" t="b">
        <v>0</v>
      </c>
      <c r="D66" s="73" t="s">
        <v>919</v>
      </c>
      <c r="E66" s="76" t="s">
        <v>790</v>
      </c>
      <c r="F66" s="76" t="s">
        <v>920</v>
      </c>
      <c r="G66" s="73" t="s">
        <v>151</v>
      </c>
      <c r="H66" s="77" t="s">
        <v>465</v>
      </c>
      <c r="I66" s="84" t="s">
        <v>590</v>
      </c>
      <c r="J66" s="84" t="s">
        <v>326</v>
      </c>
      <c r="K66" s="85">
        <v>1</v>
      </c>
      <c r="L66" s="85" t="s">
        <v>604</v>
      </c>
      <c r="M66" s="85"/>
      <c r="N66" s="85">
        <v>1</v>
      </c>
      <c r="O66" s="79" t="b">
        <v>1</v>
      </c>
      <c r="P66" s="79" t="b">
        <v>0</v>
      </c>
      <c r="Q66" s="78">
        <v>25</v>
      </c>
      <c r="R66" s="78">
        <v>1072</v>
      </c>
    </row>
    <row r="67" spans="2:18">
      <c r="B67" s="73">
        <f>IF(Facilities[[#This Row],[Active]]=TRUE,1,0)</f>
        <v>0</v>
      </c>
      <c r="C67" s="75" t="b">
        <v>0</v>
      </c>
      <c r="D67" s="73" t="s">
        <v>921</v>
      </c>
      <c r="E67" s="76" t="s">
        <v>790</v>
      </c>
      <c r="F67" s="76" t="s">
        <v>922</v>
      </c>
      <c r="G67" s="73" t="s">
        <v>151</v>
      </c>
      <c r="H67" s="77" t="s">
        <v>480</v>
      </c>
      <c r="I67" s="84" t="s">
        <v>590</v>
      </c>
      <c r="J67" s="84" t="s">
        <v>326</v>
      </c>
      <c r="K67" s="85">
        <v>1</v>
      </c>
      <c r="L67" s="85" t="s">
        <v>604</v>
      </c>
      <c r="M67" s="85"/>
      <c r="N67" s="85">
        <v>1</v>
      </c>
      <c r="O67" s="79" t="b">
        <v>1</v>
      </c>
      <c r="P67" s="79" t="b">
        <v>0</v>
      </c>
      <c r="Q67" s="78">
        <v>25</v>
      </c>
      <c r="R67" s="78">
        <v>1073</v>
      </c>
    </row>
    <row r="68" spans="2:18">
      <c r="B68" s="73">
        <f>IF(Facilities[[#This Row],[Active]]=TRUE,1,0)</f>
        <v>0</v>
      </c>
      <c r="C68" s="75" t="b">
        <v>0</v>
      </c>
      <c r="D68" s="73" t="s">
        <v>923</v>
      </c>
      <c r="E68" s="76" t="s">
        <v>176</v>
      </c>
      <c r="F68" s="76" t="s">
        <v>924</v>
      </c>
      <c r="G68" s="73" t="s">
        <v>161</v>
      </c>
      <c r="H68" s="77" t="s">
        <v>584</v>
      </c>
      <c r="I68" s="84" t="s">
        <v>587</v>
      </c>
      <c r="J68" s="84" t="s">
        <v>326</v>
      </c>
      <c r="K68" s="85">
        <v>1</v>
      </c>
      <c r="L68" s="85" t="s">
        <v>604</v>
      </c>
      <c r="M68" s="85"/>
      <c r="N68" s="85">
        <v>1</v>
      </c>
      <c r="O68" s="79" t="b">
        <v>1</v>
      </c>
      <c r="P68" s="79" t="b">
        <v>0</v>
      </c>
      <c r="Q68" s="78">
        <v>25</v>
      </c>
      <c r="R68" s="78">
        <v>1074</v>
      </c>
    </row>
    <row r="69" spans="2:18">
      <c r="B69" s="73">
        <f>IF(Facilities[[#This Row],[Active]]=TRUE,1,0)</f>
        <v>0</v>
      </c>
      <c r="C69" s="75" t="b">
        <v>0</v>
      </c>
      <c r="D69" s="73" t="s">
        <v>925</v>
      </c>
      <c r="E69" s="76" t="s">
        <v>790</v>
      </c>
      <c r="F69" s="76" t="s">
        <v>926</v>
      </c>
      <c r="G69" s="73" t="s">
        <v>151</v>
      </c>
      <c r="H69" s="77" t="s">
        <v>424</v>
      </c>
      <c r="I69" s="84" t="s">
        <v>587</v>
      </c>
      <c r="J69" s="84" t="s">
        <v>326</v>
      </c>
      <c r="K69" s="85">
        <v>1</v>
      </c>
      <c r="L69" s="85" t="s">
        <v>604</v>
      </c>
      <c r="M69" s="85"/>
      <c r="N69" s="85">
        <v>1</v>
      </c>
      <c r="O69" s="79" t="b">
        <v>1</v>
      </c>
      <c r="P69" s="79" t="b">
        <v>0</v>
      </c>
      <c r="Q69" s="78">
        <v>25</v>
      </c>
      <c r="R69" s="78">
        <v>1075</v>
      </c>
    </row>
    <row r="70" spans="2:18">
      <c r="B70" s="73">
        <f>IF(Facilities[[#This Row],[Active]]=TRUE,1,0)</f>
        <v>0</v>
      </c>
      <c r="C70" s="75" t="b">
        <v>0</v>
      </c>
      <c r="D70" s="73" t="s">
        <v>927</v>
      </c>
      <c r="E70" s="76" t="s">
        <v>790</v>
      </c>
      <c r="F70" s="76" t="s">
        <v>928</v>
      </c>
      <c r="G70" s="73" t="s">
        <v>153</v>
      </c>
      <c r="H70" s="77" t="s">
        <v>424</v>
      </c>
      <c r="I70" s="84" t="s">
        <v>587</v>
      </c>
      <c r="J70" s="84" t="s">
        <v>326</v>
      </c>
      <c r="K70" s="85">
        <v>1</v>
      </c>
      <c r="L70" s="85" t="s">
        <v>604</v>
      </c>
      <c r="M70" s="85"/>
      <c r="N70" s="85">
        <v>1</v>
      </c>
      <c r="O70" s="79" t="b">
        <v>1</v>
      </c>
      <c r="P70" s="79" t="b">
        <v>0</v>
      </c>
      <c r="Q70" s="78">
        <v>25</v>
      </c>
      <c r="R70" s="78">
        <v>1076</v>
      </c>
    </row>
    <row r="71" spans="2:18">
      <c r="B71" s="73">
        <f>IF(Facilities[[#This Row],[Active]]=TRUE,1,0)</f>
        <v>0</v>
      </c>
      <c r="C71" s="75" t="b">
        <v>0</v>
      </c>
      <c r="D71" s="73" t="s">
        <v>929</v>
      </c>
      <c r="E71" s="76" t="s">
        <v>176</v>
      </c>
      <c r="F71" s="76" t="s">
        <v>928</v>
      </c>
      <c r="G71" s="73" t="s">
        <v>161</v>
      </c>
      <c r="H71" s="77" t="s">
        <v>424</v>
      </c>
      <c r="I71" s="84" t="s">
        <v>587</v>
      </c>
      <c r="J71" s="84" t="s">
        <v>326</v>
      </c>
      <c r="K71" s="85">
        <v>1</v>
      </c>
      <c r="L71" s="85" t="s">
        <v>604</v>
      </c>
      <c r="M71" s="85"/>
      <c r="N71" s="85">
        <v>1</v>
      </c>
      <c r="O71" s="79" t="b">
        <v>1</v>
      </c>
      <c r="P71" s="79" t="b">
        <v>0</v>
      </c>
      <c r="Q71" s="78">
        <v>25</v>
      </c>
      <c r="R71" s="78">
        <v>1077</v>
      </c>
    </row>
    <row r="72" spans="2:18">
      <c r="B72" s="73">
        <f>IF(Facilities[[#This Row],[Active]]=TRUE,1,0)</f>
        <v>0</v>
      </c>
      <c r="C72" s="75" t="b">
        <v>0</v>
      </c>
      <c r="D72" s="73" t="s">
        <v>930</v>
      </c>
      <c r="E72" s="76" t="s">
        <v>176</v>
      </c>
      <c r="F72" s="76" t="s">
        <v>931</v>
      </c>
      <c r="G72" s="73" t="s">
        <v>161</v>
      </c>
      <c r="H72" s="77" t="s">
        <v>437</v>
      </c>
      <c r="I72" s="84" t="s">
        <v>587</v>
      </c>
      <c r="J72" s="84" t="s">
        <v>326</v>
      </c>
      <c r="K72" s="85">
        <v>1</v>
      </c>
      <c r="L72" s="85" t="s">
        <v>807</v>
      </c>
      <c r="M72" s="85"/>
      <c r="N72" s="85">
        <v>1</v>
      </c>
      <c r="O72" s="79" t="b">
        <v>1</v>
      </c>
      <c r="P72" s="79" t="b">
        <v>0</v>
      </c>
      <c r="Q72" s="78">
        <v>25</v>
      </c>
      <c r="R72" s="78">
        <v>1078</v>
      </c>
    </row>
    <row r="73" spans="2:18">
      <c r="B73" s="73">
        <f>IF(Facilities[[#This Row],[Active]]=TRUE,1,0)</f>
        <v>0</v>
      </c>
      <c r="C73" s="75" t="b">
        <v>0</v>
      </c>
      <c r="D73" s="73" t="s">
        <v>932</v>
      </c>
      <c r="E73" s="76" t="s">
        <v>176</v>
      </c>
      <c r="F73" s="76" t="s">
        <v>933</v>
      </c>
      <c r="G73" s="73" t="s">
        <v>161</v>
      </c>
      <c r="H73" s="77" t="s">
        <v>437</v>
      </c>
      <c r="I73" s="84" t="s">
        <v>587</v>
      </c>
      <c r="J73" s="84" t="s">
        <v>326</v>
      </c>
      <c r="K73" s="85">
        <v>1</v>
      </c>
      <c r="L73" s="85" t="s">
        <v>807</v>
      </c>
      <c r="M73" s="85"/>
      <c r="N73" s="85">
        <v>1</v>
      </c>
      <c r="O73" s="79" t="b">
        <v>1</v>
      </c>
      <c r="P73" s="79" t="b">
        <v>0</v>
      </c>
      <c r="Q73" s="78">
        <v>25</v>
      </c>
      <c r="R73" s="78">
        <v>1079</v>
      </c>
    </row>
    <row r="74" spans="2:18">
      <c r="B74" s="73">
        <f>IF(Facilities[[#This Row],[Active]]=TRUE,1,0)</f>
        <v>0</v>
      </c>
      <c r="C74" s="75" t="b">
        <v>0</v>
      </c>
      <c r="D74" s="73" t="s">
        <v>934</v>
      </c>
      <c r="E74" s="76" t="s">
        <v>176</v>
      </c>
      <c r="F74" s="76" t="s">
        <v>935</v>
      </c>
      <c r="G74" s="73" t="s">
        <v>161</v>
      </c>
      <c r="H74" s="77" t="s">
        <v>424</v>
      </c>
      <c r="I74" s="84" t="s">
        <v>587</v>
      </c>
      <c r="J74" s="84" t="s">
        <v>326</v>
      </c>
      <c r="K74" s="85">
        <v>1</v>
      </c>
      <c r="L74" s="85" t="s">
        <v>604</v>
      </c>
      <c r="M74" s="85"/>
      <c r="N74" s="85">
        <v>1</v>
      </c>
      <c r="O74" s="79" t="b">
        <v>1</v>
      </c>
      <c r="P74" s="79" t="b">
        <v>0</v>
      </c>
      <c r="Q74" s="78">
        <v>25</v>
      </c>
      <c r="R74" s="78">
        <v>1080</v>
      </c>
    </row>
    <row r="75" spans="2:18">
      <c r="B75" s="73">
        <f>IF(Facilities[[#This Row],[Active]]=TRUE,1,0)</f>
        <v>0</v>
      </c>
      <c r="C75" s="75" t="b">
        <v>0</v>
      </c>
      <c r="D75" s="73" t="s">
        <v>936</v>
      </c>
      <c r="E75" s="76" t="s">
        <v>176</v>
      </c>
      <c r="F75" s="76" t="s">
        <v>937</v>
      </c>
      <c r="G75" s="73" t="s">
        <v>161</v>
      </c>
      <c r="H75" s="77" t="s">
        <v>457</v>
      </c>
      <c r="I75" s="84" t="s">
        <v>587</v>
      </c>
      <c r="J75" s="84" t="s">
        <v>326</v>
      </c>
      <c r="K75" s="85">
        <v>1</v>
      </c>
      <c r="L75" s="85" t="s">
        <v>604</v>
      </c>
      <c r="M75" s="85"/>
      <c r="N75" s="85">
        <v>1</v>
      </c>
      <c r="O75" s="79" t="b">
        <v>1</v>
      </c>
      <c r="P75" s="79" t="b">
        <v>0</v>
      </c>
      <c r="Q75" s="78">
        <v>25</v>
      </c>
      <c r="R75" s="78">
        <v>1081</v>
      </c>
    </row>
    <row r="76" spans="2:18">
      <c r="B76" s="73">
        <f>IF(Facilities[[#This Row],[Active]]=TRUE,1,0)</f>
        <v>0</v>
      </c>
      <c r="C76" s="75" t="b">
        <v>0</v>
      </c>
      <c r="D76" s="73" t="s">
        <v>938</v>
      </c>
      <c r="E76" s="76" t="s">
        <v>790</v>
      </c>
      <c r="F76" s="76" t="s">
        <v>939</v>
      </c>
      <c r="G76" s="73" t="s">
        <v>153</v>
      </c>
      <c r="H76" s="77" t="s">
        <v>424</v>
      </c>
      <c r="I76" s="84" t="s">
        <v>587</v>
      </c>
      <c r="J76" s="84" t="s">
        <v>326</v>
      </c>
      <c r="K76" s="85">
        <v>1</v>
      </c>
      <c r="L76" s="85" t="s">
        <v>604</v>
      </c>
      <c r="M76" s="85"/>
      <c r="N76" s="85">
        <v>1</v>
      </c>
      <c r="O76" s="79" t="b">
        <v>1</v>
      </c>
      <c r="P76" s="79" t="b">
        <v>0</v>
      </c>
      <c r="Q76" s="78">
        <v>25</v>
      </c>
      <c r="R76" s="78">
        <v>1082</v>
      </c>
    </row>
    <row r="77" spans="2:18">
      <c r="B77" s="73">
        <f>IF(Facilities[[#This Row],[Active]]=TRUE,1,0)</f>
        <v>0</v>
      </c>
      <c r="C77" s="75" t="b">
        <v>0</v>
      </c>
      <c r="D77" s="73" t="s">
        <v>940</v>
      </c>
      <c r="E77" s="76" t="s">
        <v>176</v>
      </c>
      <c r="F77" s="76" t="s">
        <v>941</v>
      </c>
      <c r="G77" s="73" t="s">
        <v>111</v>
      </c>
      <c r="H77" s="77" t="s">
        <v>437</v>
      </c>
      <c r="I77" s="84" t="s">
        <v>587</v>
      </c>
      <c r="J77" s="84" t="s">
        <v>326</v>
      </c>
      <c r="K77" s="85">
        <v>1</v>
      </c>
      <c r="L77" s="85" t="s">
        <v>604</v>
      </c>
      <c r="M77" s="85"/>
      <c r="N77" s="85">
        <v>1</v>
      </c>
      <c r="O77" s="79" t="b">
        <v>1</v>
      </c>
      <c r="P77" s="79" t="b">
        <v>0</v>
      </c>
      <c r="Q77" s="78">
        <v>25</v>
      </c>
      <c r="R77" s="78">
        <v>1083</v>
      </c>
    </row>
    <row r="78" spans="2:18">
      <c r="B78" s="73">
        <f>IF(Facilities[[#This Row],[Active]]=TRUE,1,0)</f>
        <v>0</v>
      </c>
      <c r="C78" s="75" t="b">
        <v>0</v>
      </c>
      <c r="D78" s="73" t="s">
        <v>942</v>
      </c>
      <c r="E78" s="76" t="s">
        <v>790</v>
      </c>
      <c r="F78" s="76" t="s">
        <v>943</v>
      </c>
      <c r="G78" s="73" t="s">
        <v>153</v>
      </c>
      <c r="H78" s="77" t="s">
        <v>487</v>
      </c>
      <c r="I78" s="84" t="s">
        <v>587</v>
      </c>
      <c r="J78" s="84" t="s">
        <v>326</v>
      </c>
      <c r="K78" s="85">
        <v>1</v>
      </c>
      <c r="L78" s="85" t="s">
        <v>604</v>
      </c>
      <c r="M78" s="85"/>
      <c r="N78" s="85">
        <v>1</v>
      </c>
      <c r="O78" s="79" t="b">
        <v>1</v>
      </c>
      <c r="P78" s="79" t="b">
        <v>0</v>
      </c>
      <c r="Q78" s="78">
        <v>25</v>
      </c>
      <c r="R78" s="78">
        <v>1084</v>
      </c>
    </row>
    <row r="79" spans="2:18">
      <c r="B79" s="73">
        <f>IF(Facilities[[#This Row],[Active]]=TRUE,1,0)</f>
        <v>0</v>
      </c>
      <c r="C79" s="75" t="b">
        <v>0</v>
      </c>
      <c r="D79" s="73" t="s">
        <v>944</v>
      </c>
      <c r="E79" s="76" t="s">
        <v>790</v>
      </c>
      <c r="F79" s="76" t="s">
        <v>945</v>
      </c>
      <c r="G79" s="73" t="s">
        <v>153</v>
      </c>
      <c r="H79" s="77" t="s">
        <v>453</v>
      </c>
      <c r="I79" s="84" t="s">
        <v>587</v>
      </c>
      <c r="J79" s="84" t="s">
        <v>326</v>
      </c>
      <c r="K79" s="85">
        <v>1</v>
      </c>
      <c r="L79" s="85" t="s">
        <v>604</v>
      </c>
      <c r="M79" s="85"/>
      <c r="N79" s="85">
        <v>1</v>
      </c>
      <c r="O79" s="79" t="b">
        <v>1</v>
      </c>
      <c r="P79" s="79" t="b">
        <v>0</v>
      </c>
      <c r="Q79" s="78">
        <v>25</v>
      </c>
      <c r="R79" s="78">
        <v>1085</v>
      </c>
    </row>
    <row r="80" spans="2:18">
      <c r="B80" s="73">
        <f>IF(Facilities[[#This Row],[Active]]=TRUE,1,0)</f>
        <v>0</v>
      </c>
      <c r="C80" s="75" t="b">
        <v>0</v>
      </c>
      <c r="D80" s="73" t="s">
        <v>946</v>
      </c>
      <c r="E80" s="76" t="s">
        <v>176</v>
      </c>
      <c r="F80" s="76" t="s">
        <v>947</v>
      </c>
      <c r="G80" s="73" t="s">
        <v>161</v>
      </c>
      <c r="H80" s="77" t="s">
        <v>504</v>
      </c>
      <c r="I80" s="84" t="s">
        <v>587</v>
      </c>
      <c r="J80" s="84" t="s">
        <v>326</v>
      </c>
      <c r="K80" s="85">
        <v>1</v>
      </c>
      <c r="L80" s="85" t="s">
        <v>604</v>
      </c>
      <c r="M80" s="85"/>
      <c r="N80" s="85">
        <v>1</v>
      </c>
      <c r="O80" s="79" t="b">
        <v>1</v>
      </c>
      <c r="P80" s="79" t="b">
        <v>0</v>
      </c>
      <c r="Q80" s="78">
        <v>25</v>
      </c>
      <c r="R80" s="78">
        <v>1086</v>
      </c>
    </row>
    <row r="81" spans="2:18">
      <c r="B81" s="73">
        <f>IF(Facilities[[#This Row],[Active]]=TRUE,1,0)</f>
        <v>0</v>
      </c>
      <c r="C81" s="75" t="b">
        <v>0</v>
      </c>
      <c r="D81" s="73" t="s">
        <v>948</v>
      </c>
      <c r="E81" s="76" t="s">
        <v>176</v>
      </c>
      <c r="F81" s="76" t="s">
        <v>949</v>
      </c>
      <c r="G81" s="73" t="s">
        <v>168</v>
      </c>
      <c r="H81" s="77" t="s">
        <v>570</v>
      </c>
      <c r="I81" s="84" t="s">
        <v>587</v>
      </c>
      <c r="J81" s="84" t="s">
        <v>326</v>
      </c>
      <c r="K81" s="85">
        <v>1</v>
      </c>
      <c r="L81" s="85" t="s">
        <v>604</v>
      </c>
      <c r="M81" s="85"/>
      <c r="N81" s="85">
        <v>1</v>
      </c>
      <c r="O81" s="79" t="b">
        <v>1</v>
      </c>
      <c r="P81" s="79" t="b">
        <v>0</v>
      </c>
      <c r="Q81" s="78">
        <v>25</v>
      </c>
      <c r="R81" s="78">
        <v>1087</v>
      </c>
    </row>
    <row r="82" spans="2:18">
      <c r="B82" s="73">
        <f>IF(Facilities[[#This Row],[Active]]=TRUE,1,0)</f>
        <v>0</v>
      </c>
      <c r="C82" s="75" t="b">
        <v>0</v>
      </c>
      <c r="D82" s="73" t="s">
        <v>950</v>
      </c>
      <c r="E82" s="76" t="s">
        <v>176</v>
      </c>
      <c r="F82" s="76" t="s">
        <v>951</v>
      </c>
      <c r="G82" s="73" t="s">
        <v>111</v>
      </c>
      <c r="H82" s="77" t="s">
        <v>416</v>
      </c>
      <c r="I82" s="84" t="s">
        <v>587</v>
      </c>
      <c r="J82" s="84" t="s">
        <v>326</v>
      </c>
      <c r="K82" s="85">
        <v>1</v>
      </c>
      <c r="L82" s="85" t="s">
        <v>807</v>
      </c>
      <c r="M82" s="85"/>
      <c r="N82" s="85">
        <v>1</v>
      </c>
      <c r="O82" s="79" t="b">
        <v>1</v>
      </c>
      <c r="P82" s="79" t="b">
        <v>0</v>
      </c>
      <c r="Q82" s="78">
        <v>25</v>
      </c>
      <c r="R82" s="78">
        <v>1088</v>
      </c>
    </row>
    <row r="83" spans="2:18">
      <c r="B83" s="73">
        <f>IF(Facilities[[#This Row],[Active]]=TRUE,1,0)</f>
        <v>0</v>
      </c>
      <c r="C83" s="75" t="b">
        <v>0</v>
      </c>
      <c r="D83" s="73" t="s">
        <v>952</v>
      </c>
      <c r="E83" s="76" t="s">
        <v>176</v>
      </c>
      <c r="F83" s="76" t="s">
        <v>953</v>
      </c>
      <c r="G83" s="73" t="s">
        <v>111</v>
      </c>
      <c r="H83" s="77" t="s">
        <v>570</v>
      </c>
      <c r="I83" s="84" t="s">
        <v>587</v>
      </c>
      <c r="J83" s="84" t="s">
        <v>326</v>
      </c>
      <c r="K83" s="85">
        <v>1</v>
      </c>
      <c r="L83" s="85" t="s">
        <v>807</v>
      </c>
      <c r="M83" s="85"/>
      <c r="N83" s="85">
        <v>1</v>
      </c>
      <c r="O83" s="79" t="b">
        <v>1</v>
      </c>
      <c r="P83" s="79" t="b">
        <v>0</v>
      </c>
      <c r="Q83" s="78">
        <v>25</v>
      </c>
      <c r="R83" s="78">
        <v>1089</v>
      </c>
    </row>
    <row r="84" spans="2:18">
      <c r="B84" s="73">
        <f>IF(Facilities[[#This Row],[Active]]=TRUE,1,0)</f>
        <v>0</v>
      </c>
      <c r="C84" s="75" t="b">
        <v>0</v>
      </c>
      <c r="D84" s="73" t="s">
        <v>954</v>
      </c>
      <c r="E84" s="76" t="s">
        <v>176</v>
      </c>
      <c r="F84" s="76" t="s">
        <v>955</v>
      </c>
      <c r="G84" s="73" t="s">
        <v>174</v>
      </c>
      <c r="H84" s="77" t="s">
        <v>466</v>
      </c>
      <c r="I84" s="84" t="s">
        <v>587</v>
      </c>
      <c r="J84" s="84" t="s">
        <v>326</v>
      </c>
      <c r="K84" s="85">
        <v>1</v>
      </c>
      <c r="L84" s="85" t="s">
        <v>604</v>
      </c>
      <c r="M84" s="85"/>
      <c r="N84" s="85">
        <v>1</v>
      </c>
      <c r="O84" s="79" t="b">
        <v>1</v>
      </c>
      <c r="P84" s="79" t="b">
        <v>0</v>
      </c>
      <c r="Q84" s="78">
        <v>25</v>
      </c>
      <c r="R84" s="78">
        <v>1090</v>
      </c>
    </row>
    <row r="85" spans="2:18">
      <c r="B85" s="73">
        <f>IF(Facilities[[#This Row],[Active]]=TRUE,1,0)</f>
        <v>0</v>
      </c>
      <c r="C85" s="75" t="b">
        <v>0</v>
      </c>
      <c r="D85" s="73" t="s">
        <v>956</v>
      </c>
      <c r="E85" s="76" t="s">
        <v>176</v>
      </c>
      <c r="F85" s="76" t="s">
        <v>957</v>
      </c>
      <c r="G85" s="73" t="s">
        <v>111</v>
      </c>
      <c r="H85" s="77" t="s">
        <v>570</v>
      </c>
      <c r="I85" s="84" t="s">
        <v>587</v>
      </c>
      <c r="J85" s="84" t="s">
        <v>326</v>
      </c>
      <c r="K85" s="85">
        <v>1</v>
      </c>
      <c r="L85" s="85" t="s">
        <v>604</v>
      </c>
      <c r="M85" s="85"/>
      <c r="N85" s="85">
        <v>1</v>
      </c>
      <c r="O85" s="79" t="b">
        <v>1</v>
      </c>
      <c r="P85" s="79" t="b">
        <v>0</v>
      </c>
      <c r="Q85" s="78">
        <v>25</v>
      </c>
      <c r="R85" s="78">
        <v>1091</v>
      </c>
    </row>
    <row r="86" spans="2:18">
      <c r="B86" s="73">
        <f>IF(Facilities[[#This Row],[Active]]=TRUE,1,0)</f>
        <v>1</v>
      </c>
      <c r="C86" s="75" t="b">
        <v>1</v>
      </c>
      <c r="D86" s="73" t="s">
        <v>958</v>
      </c>
      <c r="E86" s="76" t="s">
        <v>176</v>
      </c>
      <c r="F86" s="76" t="s">
        <v>788</v>
      </c>
      <c r="G86" s="73" t="s">
        <v>959</v>
      </c>
      <c r="H86" s="77" t="s">
        <v>383</v>
      </c>
      <c r="I86" s="84" t="s">
        <v>763</v>
      </c>
      <c r="J86" s="84"/>
      <c r="K86" s="85">
        <v>1</v>
      </c>
      <c r="L86" s="85" t="s">
        <v>604</v>
      </c>
      <c r="M86" s="85"/>
      <c r="N86" s="85">
        <v>1</v>
      </c>
      <c r="O86" s="79" t="b">
        <v>1</v>
      </c>
      <c r="P86" s="79" t="b">
        <v>0</v>
      </c>
      <c r="Q86" s="78">
        <v>25</v>
      </c>
      <c r="R86" s="78">
        <v>1092</v>
      </c>
    </row>
    <row r="87" spans="2:18">
      <c r="B87" s="73">
        <f>IF(Facilities[[#This Row],[Active]]=TRUE,1,0)</f>
        <v>1</v>
      </c>
      <c r="C87" s="75" t="b">
        <v>1</v>
      </c>
      <c r="D87" s="73" t="s">
        <v>960</v>
      </c>
      <c r="E87" s="76" t="s">
        <v>176</v>
      </c>
      <c r="F87" s="76" t="s">
        <v>788</v>
      </c>
      <c r="G87" s="73" t="s">
        <v>959</v>
      </c>
      <c r="H87" s="77" t="s">
        <v>383</v>
      </c>
      <c r="I87" s="84" t="s">
        <v>763</v>
      </c>
      <c r="J87" s="84"/>
      <c r="K87" s="85">
        <v>1</v>
      </c>
      <c r="L87" s="85" t="s">
        <v>604</v>
      </c>
      <c r="M87" s="85"/>
      <c r="N87" s="85">
        <v>1</v>
      </c>
      <c r="O87" s="79" t="b">
        <v>1</v>
      </c>
      <c r="P87" s="79" t="b">
        <v>0</v>
      </c>
      <c r="Q87" s="78">
        <v>25</v>
      </c>
      <c r="R87" s="78">
        <v>1093</v>
      </c>
    </row>
    <row r="88" spans="2:18">
      <c r="B88" s="73">
        <f>IF(Facilities[[#This Row],[Active]]=TRUE,1,0)</f>
        <v>1</v>
      </c>
      <c r="C88" s="75" t="b">
        <v>1</v>
      </c>
      <c r="D88" s="73" t="s">
        <v>961</v>
      </c>
      <c r="E88" s="76" t="s">
        <v>176</v>
      </c>
      <c r="F88" s="76" t="s">
        <v>788</v>
      </c>
      <c r="G88" s="73" t="s">
        <v>959</v>
      </c>
      <c r="H88" s="77" t="s">
        <v>383</v>
      </c>
      <c r="I88" s="84" t="s">
        <v>763</v>
      </c>
      <c r="J88" s="84"/>
      <c r="K88" s="85">
        <v>1</v>
      </c>
      <c r="L88" s="85" t="s">
        <v>604</v>
      </c>
      <c r="M88" s="85"/>
      <c r="N88" s="85">
        <v>1</v>
      </c>
      <c r="O88" s="79" t="b">
        <v>1</v>
      </c>
      <c r="P88" s="79" t="b">
        <v>0</v>
      </c>
      <c r="Q88" s="78">
        <v>25</v>
      </c>
      <c r="R88" s="78">
        <v>1094</v>
      </c>
    </row>
    <row r="89" spans="2:18">
      <c r="B89" s="73">
        <f>IF(Facilities[[#This Row],[Active]]=TRUE,1,0)</f>
        <v>1</v>
      </c>
      <c r="C89" s="75" t="b">
        <v>1</v>
      </c>
      <c r="D89" s="73" t="s">
        <v>962</v>
      </c>
      <c r="E89" s="76" t="s">
        <v>176</v>
      </c>
      <c r="F89" s="76" t="s">
        <v>788</v>
      </c>
      <c r="G89" s="73" t="s">
        <v>959</v>
      </c>
      <c r="H89" s="77" t="s">
        <v>383</v>
      </c>
      <c r="I89" s="84" t="s">
        <v>763</v>
      </c>
      <c r="J89" s="84"/>
      <c r="K89" s="85">
        <v>1</v>
      </c>
      <c r="L89" s="85" t="s">
        <v>604</v>
      </c>
      <c r="M89" s="85"/>
      <c r="N89" s="85">
        <v>1</v>
      </c>
      <c r="O89" s="79" t="b">
        <v>1</v>
      </c>
      <c r="P89" s="79" t="b">
        <v>0</v>
      </c>
      <c r="Q89" s="78">
        <v>25</v>
      </c>
      <c r="R89" s="78">
        <v>1095</v>
      </c>
    </row>
    <row r="90" spans="2:18">
      <c r="B90" s="73">
        <f>IF(Facilities[[#This Row],[Active]]=TRUE,1,0)</f>
        <v>1</v>
      </c>
      <c r="C90" s="75" t="b">
        <v>1</v>
      </c>
      <c r="D90" s="73" t="s">
        <v>963</v>
      </c>
      <c r="E90" s="76" t="s">
        <v>176</v>
      </c>
      <c r="F90" s="76" t="s">
        <v>788</v>
      </c>
      <c r="G90" s="73" t="s">
        <v>959</v>
      </c>
      <c r="H90" s="77" t="s">
        <v>383</v>
      </c>
      <c r="I90" s="84" t="s">
        <v>763</v>
      </c>
      <c r="J90" s="84"/>
      <c r="K90" s="85">
        <v>1</v>
      </c>
      <c r="L90" s="85" t="s">
        <v>604</v>
      </c>
      <c r="M90" s="85"/>
      <c r="N90" s="85">
        <v>1</v>
      </c>
      <c r="O90" s="79" t="b">
        <v>1</v>
      </c>
      <c r="P90" s="79" t="b">
        <v>0</v>
      </c>
      <c r="Q90" s="78">
        <v>25</v>
      </c>
      <c r="R90" s="78">
        <v>1096</v>
      </c>
    </row>
    <row r="91" spans="2:18">
      <c r="B91" s="73">
        <f>IF(Facilities[[#This Row],[Active]]=TRUE,1,0)</f>
        <v>1</v>
      </c>
      <c r="C91" s="75" t="b">
        <v>1</v>
      </c>
      <c r="D91" s="73" t="s">
        <v>964</v>
      </c>
      <c r="E91" s="76" t="s">
        <v>829</v>
      </c>
      <c r="F91" s="76" t="s">
        <v>832</v>
      </c>
      <c r="G91" s="73" t="s">
        <v>155</v>
      </c>
      <c r="H91" s="77" t="s">
        <v>380</v>
      </c>
      <c r="I91" s="84" t="s">
        <v>763</v>
      </c>
      <c r="J91" s="84"/>
      <c r="K91" s="85">
        <v>1</v>
      </c>
      <c r="L91" s="85" t="s">
        <v>604</v>
      </c>
      <c r="M91" s="85"/>
      <c r="N91" s="85">
        <v>1</v>
      </c>
      <c r="O91" s="79" t="b">
        <v>1</v>
      </c>
      <c r="P91" s="79" t="b">
        <v>0</v>
      </c>
      <c r="Q91" s="78">
        <v>25</v>
      </c>
      <c r="R91" s="78">
        <v>1097</v>
      </c>
    </row>
    <row r="92" spans="2:18">
      <c r="B92" s="73">
        <f>IF(Facilities[[#This Row],[Active]]=TRUE,1,0)</f>
        <v>1</v>
      </c>
      <c r="C92" s="75" t="b">
        <v>1</v>
      </c>
      <c r="D92" s="73" t="s">
        <v>965</v>
      </c>
      <c r="E92" s="76" t="s">
        <v>966</v>
      </c>
      <c r="F92" s="76" t="s">
        <v>777</v>
      </c>
      <c r="G92" s="73" t="s">
        <v>149</v>
      </c>
      <c r="H92" s="77" t="s">
        <v>370</v>
      </c>
      <c r="I92" s="84" t="s">
        <v>763</v>
      </c>
      <c r="J92" s="84"/>
      <c r="K92" s="85">
        <v>1</v>
      </c>
      <c r="L92" s="85" t="s">
        <v>604</v>
      </c>
      <c r="M92" s="85"/>
      <c r="N92" s="85">
        <v>1</v>
      </c>
      <c r="O92" s="79" t="b">
        <v>1</v>
      </c>
      <c r="P92" s="79" t="b">
        <v>0</v>
      </c>
      <c r="Q92" s="78">
        <v>25</v>
      </c>
      <c r="R92" s="78">
        <v>1098</v>
      </c>
    </row>
    <row r="93" spans="2:18">
      <c r="B93" s="73">
        <f>IF(Facilities[[#This Row],[Active]]=TRUE,1,0)</f>
        <v>1</v>
      </c>
      <c r="C93" s="75" t="b">
        <v>1</v>
      </c>
      <c r="D93" s="73" t="s">
        <v>967</v>
      </c>
      <c r="E93" s="76" t="s">
        <v>176</v>
      </c>
      <c r="F93" s="76" t="s">
        <v>896</v>
      </c>
      <c r="G93" s="73" t="s">
        <v>968</v>
      </c>
      <c r="H93" s="77" t="s">
        <v>514</v>
      </c>
      <c r="I93" s="84" t="s">
        <v>763</v>
      </c>
      <c r="J93" s="84"/>
      <c r="K93" s="85">
        <v>1</v>
      </c>
      <c r="L93" s="85" t="s">
        <v>604</v>
      </c>
      <c r="M93" s="85"/>
      <c r="N93" s="85">
        <v>1</v>
      </c>
      <c r="O93" s="79" t="b">
        <v>1</v>
      </c>
      <c r="P93" s="79" t="b">
        <v>0</v>
      </c>
      <c r="Q93" s="78">
        <v>25</v>
      </c>
      <c r="R93" s="78">
        <v>1099</v>
      </c>
    </row>
    <row r="94" spans="2:18">
      <c r="B94" s="73">
        <f>IF(Facilities[[#This Row],[Active]]=TRUE,1,0)</f>
        <v>1</v>
      </c>
      <c r="C94" s="75" t="b">
        <v>1</v>
      </c>
      <c r="D94" s="73" t="s">
        <v>969</v>
      </c>
      <c r="E94" s="76" t="s">
        <v>176</v>
      </c>
      <c r="F94" s="76" t="s">
        <v>970</v>
      </c>
      <c r="G94" s="73" t="s">
        <v>968</v>
      </c>
      <c r="H94" s="77" t="s">
        <v>720</v>
      </c>
      <c r="I94" s="84" t="s">
        <v>763</v>
      </c>
      <c r="J94" s="84"/>
      <c r="K94" s="85">
        <v>1</v>
      </c>
      <c r="L94" s="85" t="s">
        <v>604</v>
      </c>
      <c r="M94" s="85"/>
      <c r="N94" s="85">
        <v>1</v>
      </c>
      <c r="O94" s="79" t="b">
        <v>1</v>
      </c>
      <c r="P94" s="79" t="b">
        <v>0</v>
      </c>
      <c r="Q94" s="78">
        <v>25</v>
      </c>
      <c r="R94" s="78">
        <v>1100</v>
      </c>
    </row>
    <row r="95" spans="2:18">
      <c r="B95" s="73">
        <f>IF(Facilities[[#This Row],[Active]]=TRUE,1,0)</f>
        <v>1</v>
      </c>
      <c r="C95" s="75" t="b">
        <v>1</v>
      </c>
      <c r="D95" s="73" t="s">
        <v>971</v>
      </c>
      <c r="E95" s="76" t="s">
        <v>829</v>
      </c>
      <c r="F95" s="76" t="s">
        <v>970</v>
      </c>
      <c r="G95" s="73" t="s">
        <v>155</v>
      </c>
      <c r="H95" s="77" t="s">
        <v>720</v>
      </c>
      <c r="I95" s="84" t="s">
        <v>763</v>
      </c>
      <c r="J95" s="84"/>
      <c r="K95" s="85">
        <v>1</v>
      </c>
      <c r="L95" s="85" t="s">
        <v>604</v>
      </c>
      <c r="M95" s="85"/>
      <c r="N95" s="85">
        <v>1</v>
      </c>
      <c r="O95" s="79" t="b">
        <v>1</v>
      </c>
      <c r="P95" s="79" t="b">
        <v>0</v>
      </c>
      <c r="Q95" s="78">
        <v>25</v>
      </c>
      <c r="R95" s="78">
        <v>1101</v>
      </c>
    </row>
    <row r="96" spans="2:18">
      <c r="B96" s="73">
        <f>IF(Facilities[[#This Row],[Active]]=TRUE,1,0)</f>
        <v>1</v>
      </c>
      <c r="C96" s="75" t="b">
        <v>1</v>
      </c>
      <c r="D96" s="73" t="s">
        <v>972</v>
      </c>
      <c r="E96" s="76" t="s">
        <v>176</v>
      </c>
      <c r="F96" s="76" t="s">
        <v>806</v>
      </c>
      <c r="G96" s="73" t="s">
        <v>973</v>
      </c>
      <c r="H96" s="77" t="s">
        <v>538</v>
      </c>
      <c r="I96" s="84" t="s">
        <v>763</v>
      </c>
      <c r="J96" s="84"/>
      <c r="K96" s="85">
        <v>1</v>
      </c>
      <c r="L96" s="85" t="s">
        <v>604</v>
      </c>
      <c r="M96" s="85"/>
      <c r="N96" s="85">
        <v>1</v>
      </c>
      <c r="O96" s="79" t="b">
        <v>1</v>
      </c>
      <c r="P96" s="79" t="b">
        <v>0</v>
      </c>
      <c r="Q96" s="78">
        <v>25</v>
      </c>
      <c r="R96" s="78">
        <v>1102</v>
      </c>
    </row>
    <row r="97" spans="2:18">
      <c r="B97" s="73">
        <f>IF(Facilities[[#This Row],[Active]]=TRUE,1,0)</f>
        <v>1</v>
      </c>
      <c r="C97" s="75" t="b">
        <v>1</v>
      </c>
      <c r="D97" s="73" t="s">
        <v>974</v>
      </c>
      <c r="E97" s="76" t="s">
        <v>975</v>
      </c>
      <c r="F97" s="76" t="s">
        <v>976</v>
      </c>
      <c r="G97" s="73" t="s">
        <v>977</v>
      </c>
      <c r="H97" s="77" t="s">
        <v>726</v>
      </c>
      <c r="I97" s="84" t="s">
        <v>763</v>
      </c>
      <c r="J97" s="84"/>
      <c r="K97" s="85">
        <v>1</v>
      </c>
      <c r="L97" s="85" t="s">
        <v>604</v>
      </c>
      <c r="M97" s="85"/>
      <c r="N97" s="85">
        <v>1</v>
      </c>
      <c r="O97" s="79" t="b">
        <v>1</v>
      </c>
      <c r="P97" s="79" t="b">
        <v>0</v>
      </c>
      <c r="Q97" s="78">
        <v>25</v>
      </c>
      <c r="R97" s="78">
        <v>1103</v>
      </c>
    </row>
    <row r="98" spans="2:18">
      <c r="B98" s="73">
        <f>IF(Facilities[[#This Row],[Active]]=TRUE,1,0)</f>
        <v>1</v>
      </c>
      <c r="C98" s="75" t="b">
        <v>1</v>
      </c>
      <c r="D98" s="73" t="s">
        <v>978</v>
      </c>
      <c r="E98" s="76" t="s">
        <v>975</v>
      </c>
      <c r="F98" s="76" t="s">
        <v>976</v>
      </c>
      <c r="G98" s="73" t="s">
        <v>155</v>
      </c>
      <c r="H98" s="77" t="s">
        <v>726</v>
      </c>
      <c r="I98" s="84" t="s">
        <v>763</v>
      </c>
      <c r="J98" s="84"/>
      <c r="K98" s="85">
        <v>1</v>
      </c>
      <c r="L98" s="85" t="s">
        <v>604</v>
      </c>
      <c r="M98" s="85"/>
      <c r="N98" s="85">
        <v>1</v>
      </c>
      <c r="O98" s="79" t="b">
        <v>1</v>
      </c>
      <c r="P98" s="79" t="b">
        <v>0</v>
      </c>
      <c r="Q98" s="78">
        <v>25</v>
      </c>
      <c r="R98" s="78">
        <v>1104</v>
      </c>
    </row>
    <row r="99" spans="2:18">
      <c r="B99" s="73">
        <f>IF(Facilities[[#This Row],[Active]]=TRUE,1,0)</f>
        <v>1</v>
      </c>
      <c r="C99" s="75" t="b">
        <v>1</v>
      </c>
      <c r="D99" s="73" t="s">
        <v>979</v>
      </c>
      <c r="E99" s="76" t="s">
        <v>975</v>
      </c>
      <c r="F99" s="76" t="s">
        <v>976</v>
      </c>
      <c r="G99" s="73" t="s">
        <v>977</v>
      </c>
      <c r="H99" s="77" t="s">
        <v>726</v>
      </c>
      <c r="I99" s="84" t="s">
        <v>763</v>
      </c>
      <c r="J99" s="84"/>
      <c r="K99" s="85">
        <v>1</v>
      </c>
      <c r="L99" s="85" t="s">
        <v>604</v>
      </c>
      <c r="M99" s="85"/>
      <c r="N99" s="85">
        <v>1</v>
      </c>
      <c r="O99" s="79" t="b">
        <v>1</v>
      </c>
      <c r="P99" s="79" t="b">
        <v>0</v>
      </c>
      <c r="Q99" s="78">
        <v>25</v>
      </c>
      <c r="R99" s="78">
        <v>1105</v>
      </c>
    </row>
    <row r="100" spans="2:18">
      <c r="B100" s="73">
        <f>IF(Facilities[[#This Row],[Active]]=TRUE,1,0)</f>
        <v>1</v>
      </c>
      <c r="C100" s="75" t="b">
        <v>1</v>
      </c>
      <c r="D100" s="73" t="s">
        <v>980</v>
      </c>
      <c r="E100" s="76" t="s">
        <v>975</v>
      </c>
      <c r="F100" s="76" t="s">
        <v>976</v>
      </c>
      <c r="G100" s="73" t="s">
        <v>977</v>
      </c>
      <c r="H100" s="77" t="s">
        <v>726</v>
      </c>
      <c r="I100" s="84" t="s">
        <v>763</v>
      </c>
      <c r="J100" s="84"/>
      <c r="K100" s="85">
        <v>1</v>
      </c>
      <c r="L100" s="85" t="s">
        <v>604</v>
      </c>
      <c r="M100" s="85"/>
      <c r="N100" s="85">
        <v>1</v>
      </c>
      <c r="O100" s="79" t="b">
        <v>1</v>
      </c>
      <c r="P100" s="79" t="b">
        <v>0</v>
      </c>
      <c r="Q100" s="78">
        <v>25</v>
      </c>
      <c r="R100" s="78">
        <v>1106</v>
      </c>
    </row>
    <row r="101" spans="2:18">
      <c r="B101" s="73">
        <f>IF(Facilities[[#This Row],[Active]]=TRUE,1,0)</f>
        <v>1</v>
      </c>
      <c r="C101" s="75" t="b">
        <v>1</v>
      </c>
      <c r="D101" s="73" t="s">
        <v>981</v>
      </c>
      <c r="E101" s="76" t="s">
        <v>176</v>
      </c>
      <c r="F101" s="76" t="s">
        <v>976</v>
      </c>
      <c r="G101" s="73" t="s">
        <v>977</v>
      </c>
      <c r="H101" s="77" t="s">
        <v>726</v>
      </c>
      <c r="I101" s="84" t="s">
        <v>763</v>
      </c>
      <c r="J101" s="84"/>
      <c r="K101" s="85">
        <v>1</v>
      </c>
      <c r="L101" s="85" t="s">
        <v>604</v>
      </c>
      <c r="M101" s="85"/>
      <c r="N101" s="85">
        <v>1</v>
      </c>
      <c r="O101" s="79" t="b">
        <v>1</v>
      </c>
      <c r="P101" s="79" t="b">
        <v>0</v>
      </c>
      <c r="Q101" s="78">
        <v>25</v>
      </c>
      <c r="R101" s="78">
        <v>1107</v>
      </c>
    </row>
    <row r="102" spans="2:18">
      <c r="B102" s="73">
        <f>IF(Facilities[[#This Row],[Active]]=TRUE,1,0)</f>
        <v>1</v>
      </c>
      <c r="C102" s="75" t="b">
        <v>1</v>
      </c>
      <c r="D102" s="73" t="s">
        <v>982</v>
      </c>
      <c r="E102" s="76" t="s">
        <v>829</v>
      </c>
      <c r="F102" s="76" t="s">
        <v>983</v>
      </c>
      <c r="G102" s="73" t="s">
        <v>155</v>
      </c>
      <c r="H102" s="77" t="s">
        <v>717</v>
      </c>
      <c r="I102" s="84" t="s">
        <v>766</v>
      </c>
      <c r="J102" s="84"/>
      <c r="K102" s="85">
        <v>1</v>
      </c>
      <c r="L102" s="85" t="s">
        <v>604</v>
      </c>
      <c r="M102" s="85"/>
      <c r="N102" s="85">
        <v>1</v>
      </c>
      <c r="O102" s="79" t="b">
        <v>1</v>
      </c>
      <c r="P102" s="79" t="b">
        <v>0</v>
      </c>
      <c r="Q102" s="78">
        <v>25</v>
      </c>
      <c r="R102" s="78">
        <v>1108</v>
      </c>
    </row>
    <row r="103" spans="2:18">
      <c r="B103" s="73">
        <f>IF(Facilities[[#This Row],[Active]]=TRUE,1,0)</f>
        <v>1</v>
      </c>
      <c r="C103" s="75" t="b">
        <v>1</v>
      </c>
      <c r="D103" s="73" t="s">
        <v>984</v>
      </c>
      <c r="E103" s="76" t="s">
        <v>176</v>
      </c>
      <c r="F103" s="76" t="s">
        <v>983</v>
      </c>
      <c r="G103" s="73" t="s">
        <v>968</v>
      </c>
      <c r="H103" s="77" t="s">
        <v>717</v>
      </c>
      <c r="I103" s="84" t="s">
        <v>766</v>
      </c>
      <c r="J103" s="84"/>
      <c r="K103" s="85">
        <v>1</v>
      </c>
      <c r="L103" s="85" t="s">
        <v>604</v>
      </c>
      <c r="M103" s="85"/>
      <c r="N103" s="85">
        <v>1</v>
      </c>
      <c r="O103" s="79" t="b">
        <v>1</v>
      </c>
      <c r="P103" s="79" t="b">
        <v>0</v>
      </c>
      <c r="Q103" s="78">
        <v>25</v>
      </c>
      <c r="R103" s="78">
        <v>1109</v>
      </c>
    </row>
    <row r="104" spans="2:18">
      <c r="B104" s="73">
        <f>IF(Facilities[[#This Row],[Active]]=TRUE,1,0)</f>
        <v>1</v>
      </c>
      <c r="C104" s="75" t="b">
        <v>1</v>
      </c>
      <c r="D104" s="73" t="s">
        <v>985</v>
      </c>
      <c r="E104" s="76" t="s">
        <v>829</v>
      </c>
      <c r="F104" s="76" t="s">
        <v>986</v>
      </c>
      <c r="G104" s="73" t="s">
        <v>155</v>
      </c>
      <c r="H104" s="77" t="s">
        <v>745</v>
      </c>
      <c r="I104" s="84" t="s">
        <v>766</v>
      </c>
      <c r="J104" s="84"/>
      <c r="K104" s="85">
        <v>1</v>
      </c>
      <c r="L104" s="85" t="s">
        <v>604</v>
      </c>
      <c r="M104" s="85"/>
      <c r="N104" s="85">
        <v>1</v>
      </c>
      <c r="O104" s="79" t="b">
        <v>1</v>
      </c>
      <c r="P104" s="79" t="b">
        <v>0</v>
      </c>
      <c r="Q104" s="78">
        <v>25</v>
      </c>
      <c r="R104" s="78">
        <v>1110</v>
      </c>
    </row>
    <row r="105" spans="2:18">
      <c r="B105" s="73">
        <f>IF(Facilities[[#This Row],[Active]]=TRUE,1,0)</f>
        <v>1</v>
      </c>
      <c r="C105" s="75" t="b">
        <v>1</v>
      </c>
      <c r="D105" s="73" t="s">
        <v>987</v>
      </c>
      <c r="E105" s="76" t="s">
        <v>829</v>
      </c>
      <c r="F105" s="76" t="s">
        <v>988</v>
      </c>
      <c r="G105" s="73" t="s">
        <v>155</v>
      </c>
      <c r="H105" s="77" t="s">
        <v>738</v>
      </c>
      <c r="I105" s="84" t="s">
        <v>768</v>
      </c>
      <c r="J105" s="84"/>
      <c r="K105" s="85">
        <v>1</v>
      </c>
      <c r="L105" s="85" t="s">
        <v>604</v>
      </c>
      <c r="M105" s="85"/>
      <c r="N105" s="85">
        <v>1</v>
      </c>
      <c r="O105" s="79" t="b">
        <v>1</v>
      </c>
      <c r="P105" s="79" t="b">
        <v>0</v>
      </c>
      <c r="Q105" s="78">
        <v>25</v>
      </c>
      <c r="R105" s="78">
        <v>1111</v>
      </c>
    </row>
    <row r="106" spans="2:18">
      <c r="B106" s="73">
        <f>IF(Facilities[[#This Row],[Active]]=TRUE,1,0)</f>
        <v>1</v>
      </c>
      <c r="C106" s="75" t="b">
        <v>1</v>
      </c>
      <c r="D106" s="73" t="s">
        <v>989</v>
      </c>
      <c r="E106" s="76" t="s">
        <v>829</v>
      </c>
      <c r="F106" s="76" t="s">
        <v>990</v>
      </c>
      <c r="G106" s="73" t="s">
        <v>155</v>
      </c>
      <c r="H106" s="77" t="s">
        <v>734</v>
      </c>
      <c r="I106" s="84" t="s">
        <v>768</v>
      </c>
      <c r="J106" s="84"/>
      <c r="K106" s="85">
        <v>1</v>
      </c>
      <c r="L106" s="85" t="s">
        <v>604</v>
      </c>
      <c r="M106" s="85"/>
      <c r="N106" s="85">
        <v>1</v>
      </c>
      <c r="O106" s="79" t="b">
        <v>1</v>
      </c>
      <c r="P106" s="79" t="b">
        <v>0</v>
      </c>
      <c r="Q106" s="78">
        <v>25</v>
      </c>
      <c r="R106" s="78">
        <v>1112</v>
      </c>
    </row>
    <row r="107" spans="2:18">
      <c r="B107" s="73">
        <f>IF(Facilities[[#This Row],[Active]]=TRUE,1,0)</f>
        <v>1</v>
      </c>
      <c r="C107" s="75" t="b">
        <v>1</v>
      </c>
      <c r="D107" s="73" t="s">
        <v>991</v>
      </c>
      <c r="E107" s="76" t="s">
        <v>176</v>
      </c>
      <c r="F107" s="76" t="s">
        <v>992</v>
      </c>
      <c r="G107" s="73" t="s">
        <v>977</v>
      </c>
      <c r="H107" s="77" t="s">
        <v>742</v>
      </c>
      <c r="I107" s="84" t="s">
        <v>768</v>
      </c>
      <c r="J107" s="84"/>
      <c r="K107" s="85">
        <v>1</v>
      </c>
      <c r="L107" s="85" t="s">
        <v>604</v>
      </c>
      <c r="M107" s="85"/>
      <c r="N107" s="85">
        <v>1</v>
      </c>
      <c r="O107" s="79" t="b">
        <v>1</v>
      </c>
      <c r="P107" s="79" t="b">
        <v>0</v>
      </c>
      <c r="Q107" s="78">
        <v>25</v>
      </c>
      <c r="R107" s="78">
        <v>1113</v>
      </c>
    </row>
    <row r="108" spans="2:18">
      <c r="B108" s="73">
        <f>IF(Facilities[[#This Row],[Active]]=TRUE,1,0)</f>
        <v>1</v>
      </c>
      <c r="C108" s="75" t="b">
        <v>1</v>
      </c>
      <c r="D108" s="73" t="s">
        <v>993</v>
      </c>
      <c r="E108" s="76" t="s">
        <v>176</v>
      </c>
      <c r="F108" s="76" t="s">
        <v>992</v>
      </c>
      <c r="G108" s="73" t="s">
        <v>977</v>
      </c>
      <c r="H108" s="77" t="s">
        <v>742</v>
      </c>
      <c r="I108" s="84" t="s">
        <v>768</v>
      </c>
      <c r="J108" s="84"/>
      <c r="K108" s="85">
        <v>1</v>
      </c>
      <c r="L108" s="85" t="s">
        <v>604</v>
      </c>
      <c r="M108" s="85"/>
      <c r="N108" s="85">
        <v>1</v>
      </c>
      <c r="O108" s="79" t="b">
        <v>1</v>
      </c>
      <c r="P108" s="79" t="b">
        <v>0</v>
      </c>
      <c r="Q108" s="78">
        <v>25</v>
      </c>
      <c r="R108" s="78">
        <v>1114</v>
      </c>
    </row>
    <row r="109" spans="2:18">
      <c r="B109" s="73">
        <f>IF(Facilities[[#This Row],[Active]]=TRUE,1,0)</f>
        <v>1</v>
      </c>
      <c r="C109" s="75" t="b">
        <v>1</v>
      </c>
      <c r="D109" s="73" t="s">
        <v>994</v>
      </c>
      <c r="E109" s="76" t="s">
        <v>829</v>
      </c>
      <c r="F109" s="76" t="s">
        <v>696</v>
      </c>
      <c r="G109" s="73" t="s">
        <v>155</v>
      </c>
      <c r="H109" s="77" t="s">
        <v>748</v>
      </c>
      <c r="I109" s="84" t="s">
        <v>770</v>
      </c>
      <c r="J109" s="84"/>
      <c r="K109" s="85">
        <v>1</v>
      </c>
      <c r="L109" s="85" t="s">
        <v>604</v>
      </c>
      <c r="M109" s="85"/>
      <c r="N109" s="85">
        <v>1</v>
      </c>
      <c r="O109" s="79" t="b">
        <v>1</v>
      </c>
      <c r="P109" s="79" t="b">
        <v>0</v>
      </c>
      <c r="Q109" s="78">
        <v>25</v>
      </c>
      <c r="R109" s="78">
        <v>1115</v>
      </c>
    </row>
    <row r="110" spans="2:18">
      <c r="B110" s="73">
        <f>IF(Facilities[[#This Row],[Active]]=TRUE,1,0)</f>
        <v>1</v>
      </c>
      <c r="C110" s="75" t="b">
        <v>1</v>
      </c>
      <c r="D110" s="73" t="s">
        <v>995</v>
      </c>
      <c r="E110" s="76" t="s">
        <v>975</v>
      </c>
      <c r="F110" s="76" t="s">
        <v>696</v>
      </c>
      <c r="G110" s="73" t="s">
        <v>977</v>
      </c>
      <c r="H110" s="77" t="s">
        <v>695</v>
      </c>
      <c r="I110" s="84" t="s">
        <v>770</v>
      </c>
      <c r="J110" s="84"/>
      <c r="K110" s="85">
        <v>1</v>
      </c>
      <c r="L110" s="85" t="s">
        <v>604</v>
      </c>
      <c r="M110" s="85"/>
      <c r="N110" s="85">
        <v>1</v>
      </c>
      <c r="O110" s="79" t="b">
        <v>1</v>
      </c>
      <c r="P110" s="79" t="b">
        <v>0</v>
      </c>
      <c r="Q110" s="78">
        <v>25</v>
      </c>
      <c r="R110" s="78">
        <v>1116</v>
      </c>
    </row>
    <row r="111" spans="2:18">
      <c r="B111" s="73">
        <f>IF(Facilities[[#This Row],[Active]]=TRUE,1,0)</f>
        <v>1</v>
      </c>
      <c r="C111" s="75" t="b">
        <v>1</v>
      </c>
      <c r="D111" s="73" t="s">
        <v>996</v>
      </c>
      <c r="E111" s="76" t="s">
        <v>829</v>
      </c>
      <c r="F111" s="76" t="s">
        <v>997</v>
      </c>
      <c r="G111" s="73" t="s">
        <v>155</v>
      </c>
      <c r="H111" s="77" t="s">
        <v>697</v>
      </c>
      <c r="I111" s="84" t="s">
        <v>772</v>
      </c>
      <c r="J111" s="84"/>
      <c r="K111" s="85">
        <v>1</v>
      </c>
      <c r="L111" s="85" t="s">
        <v>604</v>
      </c>
      <c r="M111" s="85"/>
      <c r="N111" s="85">
        <v>1</v>
      </c>
      <c r="O111" s="79" t="b">
        <v>1</v>
      </c>
      <c r="P111" s="79" t="b">
        <v>0</v>
      </c>
      <c r="Q111" s="78">
        <v>25</v>
      </c>
      <c r="R111" s="78">
        <v>1117</v>
      </c>
    </row>
    <row r="112" spans="2:18">
      <c r="B112" s="73">
        <f>IF(Facilities[[#This Row],[Active]]=TRUE,1,0)</f>
        <v>1</v>
      </c>
      <c r="C112" s="75" t="b">
        <v>1</v>
      </c>
      <c r="D112" s="73" t="s">
        <v>998</v>
      </c>
      <c r="E112" s="76" t="s">
        <v>176</v>
      </c>
      <c r="F112" s="76" t="s">
        <v>997</v>
      </c>
      <c r="G112" s="73" t="s">
        <v>977</v>
      </c>
      <c r="H112" s="77" t="s">
        <v>697</v>
      </c>
      <c r="I112" s="84" t="s">
        <v>772</v>
      </c>
      <c r="J112" s="84"/>
      <c r="K112" s="85">
        <v>1</v>
      </c>
      <c r="L112" s="85" t="s">
        <v>604</v>
      </c>
      <c r="M112" s="85"/>
      <c r="N112" s="85">
        <v>1</v>
      </c>
      <c r="O112" s="79" t="b">
        <v>1</v>
      </c>
      <c r="P112" s="79" t="b">
        <v>0</v>
      </c>
      <c r="Q112" s="78">
        <v>25</v>
      </c>
      <c r="R112" s="78">
        <v>1118</v>
      </c>
    </row>
    <row r="113" spans="2:18">
      <c r="B113" s="73">
        <f>IF(Facilities[[#This Row],[Active]]=TRUE,1,0)</f>
        <v>1</v>
      </c>
      <c r="C113" s="75" t="b">
        <v>1</v>
      </c>
      <c r="D113" s="73" t="s">
        <v>999</v>
      </c>
      <c r="E113" s="76" t="s">
        <v>829</v>
      </c>
      <c r="F113" s="76" t="s">
        <v>704</v>
      </c>
      <c r="G113" s="73" t="s">
        <v>155</v>
      </c>
      <c r="H113" s="77" t="s">
        <v>703</v>
      </c>
      <c r="I113" s="84" t="s">
        <v>774</v>
      </c>
      <c r="J113" s="84"/>
      <c r="K113" s="85">
        <v>1</v>
      </c>
      <c r="L113" s="85" t="s">
        <v>604</v>
      </c>
      <c r="M113" s="85"/>
      <c r="N113" s="85">
        <v>1</v>
      </c>
      <c r="O113" s="79" t="b">
        <v>1</v>
      </c>
      <c r="P113" s="79" t="b">
        <v>0</v>
      </c>
      <c r="Q113" s="78">
        <v>25</v>
      </c>
      <c r="R113" s="78">
        <v>1119</v>
      </c>
    </row>
    <row r="114" spans="2:18">
      <c r="B114" s="73">
        <f>IF(Facilities[[#This Row],[Active]]=TRUE,1,0)</f>
        <v>1</v>
      </c>
      <c r="C114" s="75" t="b">
        <v>1</v>
      </c>
      <c r="D114" s="73" t="s">
        <v>1000</v>
      </c>
      <c r="E114" s="76" t="s">
        <v>176</v>
      </c>
      <c r="F114" s="76" t="s">
        <v>704</v>
      </c>
      <c r="G114" s="73" t="s">
        <v>145</v>
      </c>
      <c r="H114" s="77" t="s">
        <v>703</v>
      </c>
      <c r="I114" s="84" t="s">
        <v>774</v>
      </c>
      <c r="J114" s="84"/>
      <c r="K114" s="85">
        <v>1</v>
      </c>
      <c r="L114" s="85" t="s">
        <v>604</v>
      </c>
      <c r="M114" s="85"/>
      <c r="N114" s="85">
        <v>1</v>
      </c>
      <c r="O114" s="79" t="b">
        <v>1</v>
      </c>
      <c r="P114" s="79" t="b">
        <v>0</v>
      </c>
      <c r="Q114" s="78">
        <v>25</v>
      </c>
      <c r="R114" s="78">
        <v>1120</v>
      </c>
    </row>
    <row r="115" spans="2:18">
      <c r="B115" s="73">
        <f>IF(Facilities[[#This Row],[Active]]=TRUE,1,0)</f>
        <v>1</v>
      </c>
      <c r="C115" s="75" t="b">
        <v>1</v>
      </c>
      <c r="D115" s="73" t="s">
        <v>1001</v>
      </c>
      <c r="E115" s="76" t="s">
        <v>165</v>
      </c>
      <c r="F115" s="76" t="s">
        <v>1002</v>
      </c>
      <c r="G115" s="73" t="s">
        <v>111</v>
      </c>
      <c r="H115" s="77" t="s">
        <v>751</v>
      </c>
      <c r="I115" s="84" t="s">
        <v>763</v>
      </c>
      <c r="J115" s="84"/>
      <c r="K115" s="85">
        <v>1</v>
      </c>
      <c r="L115" s="85" t="s">
        <v>604</v>
      </c>
      <c r="M115" s="85"/>
      <c r="N115" s="85">
        <v>1</v>
      </c>
      <c r="O115" s="79" t="b">
        <v>1</v>
      </c>
      <c r="P115" s="79" t="b">
        <v>0</v>
      </c>
      <c r="Q115" s="78">
        <v>25</v>
      </c>
      <c r="R115" s="78">
        <v>1121</v>
      </c>
    </row>
    <row r="116" spans="2:18">
      <c r="B116" s="73">
        <f>IF(Facilities[[#This Row],[Active]]=TRUE,1,0)</f>
        <v>1</v>
      </c>
      <c r="C116" s="75" t="b">
        <v>1</v>
      </c>
      <c r="D116" s="73" t="s">
        <v>1003</v>
      </c>
      <c r="E116" s="76" t="s">
        <v>165</v>
      </c>
      <c r="F116" s="76" t="s">
        <v>860</v>
      </c>
      <c r="G116" s="73" t="s">
        <v>111</v>
      </c>
      <c r="H116" s="77" t="s">
        <v>398</v>
      </c>
      <c r="I116" s="84" t="s">
        <v>763</v>
      </c>
      <c r="J116" s="84"/>
      <c r="K116" s="85">
        <v>1</v>
      </c>
      <c r="L116" s="85" t="s">
        <v>604</v>
      </c>
      <c r="M116" s="85"/>
      <c r="N116" s="85">
        <v>1</v>
      </c>
      <c r="O116" s="79" t="b">
        <v>1</v>
      </c>
      <c r="P116" s="79" t="b">
        <v>0</v>
      </c>
      <c r="Q116" s="78">
        <v>25</v>
      </c>
      <c r="R116" s="78">
        <v>1122</v>
      </c>
    </row>
    <row r="117" spans="2:18">
      <c r="B117" s="73">
        <f>IF(Facilities[[#This Row],[Active]]=TRUE,1,0)</f>
        <v>1</v>
      </c>
      <c r="C117" s="75" t="b">
        <v>1</v>
      </c>
      <c r="D117" s="73" t="s">
        <v>1004</v>
      </c>
      <c r="E117" s="76" t="s">
        <v>165</v>
      </c>
      <c r="F117" s="76" t="s">
        <v>1005</v>
      </c>
      <c r="G117" s="73" t="s">
        <v>111</v>
      </c>
      <c r="H117" s="77" t="s">
        <v>754</v>
      </c>
      <c r="I117" s="84" t="s">
        <v>763</v>
      </c>
      <c r="J117" s="84"/>
      <c r="K117" s="85">
        <v>1</v>
      </c>
      <c r="L117" s="85" t="s">
        <v>604</v>
      </c>
      <c r="M117" s="85"/>
      <c r="N117" s="85">
        <v>1</v>
      </c>
      <c r="O117" s="79" t="b">
        <v>1</v>
      </c>
      <c r="P117" s="79" t="b">
        <v>0</v>
      </c>
      <c r="Q117" s="78">
        <v>25</v>
      </c>
      <c r="R117" s="78">
        <v>1123</v>
      </c>
    </row>
    <row r="118" spans="2:18">
      <c r="B118" s="73">
        <f>IF(Facilities[[#This Row],[Active]]=TRUE,1,0)</f>
        <v>1</v>
      </c>
      <c r="C118" s="75" t="b">
        <v>1</v>
      </c>
      <c r="D118" s="73" t="s">
        <v>1006</v>
      </c>
      <c r="E118" s="76" t="s">
        <v>165</v>
      </c>
      <c r="F118" s="76" t="s">
        <v>883</v>
      </c>
      <c r="G118" s="73" t="s">
        <v>111</v>
      </c>
      <c r="H118" s="77" t="s">
        <v>553</v>
      </c>
      <c r="I118" s="84" t="s">
        <v>763</v>
      </c>
      <c r="J118" s="84"/>
      <c r="K118" s="85">
        <v>1</v>
      </c>
      <c r="L118" s="85" t="s">
        <v>604</v>
      </c>
      <c r="M118" s="85"/>
      <c r="N118" s="85">
        <v>1</v>
      </c>
      <c r="O118" s="79" t="b">
        <v>1</v>
      </c>
      <c r="P118" s="79" t="b">
        <v>0</v>
      </c>
      <c r="Q118" s="78">
        <v>25</v>
      </c>
      <c r="R118" s="78">
        <v>1124</v>
      </c>
    </row>
    <row r="119" spans="2:18">
      <c r="B119" s="73">
        <f>IF(Facilities[[#This Row],[Active]]=TRUE,1,0)</f>
        <v>1</v>
      </c>
      <c r="C119" s="75" t="b">
        <v>1</v>
      </c>
      <c r="D119" s="73" t="s">
        <v>1007</v>
      </c>
      <c r="E119" s="76" t="s">
        <v>165</v>
      </c>
      <c r="F119" s="76" t="s">
        <v>1008</v>
      </c>
      <c r="G119" s="73" t="s">
        <v>111</v>
      </c>
      <c r="H119" s="77" t="s">
        <v>757</v>
      </c>
      <c r="I119" s="84" t="s">
        <v>763</v>
      </c>
      <c r="J119" s="84"/>
      <c r="K119" s="85">
        <v>1</v>
      </c>
      <c r="L119" s="85" t="s">
        <v>604</v>
      </c>
      <c r="M119" s="85"/>
      <c r="N119" s="85">
        <v>1</v>
      </c>
      <c r="O119" s="79" t="b">
        <v>1</v>
      </c>
      <c r="P119" s="79" t="b">
        <v>0</v>
      </c>
      <c r="Q119" s="78">
        <v>25</v>
      </c>
      <c r="R119" s="78">
        <v>1125</v>
      </c>
    </row>
    <row r="120" spans="2:18">
      <c r="B120" s="73">
        <f>IF(Facilities[[#This Row],[Active]]=TRUE,1,0)</f>
        <v>1</v>
      </c>
      <c r="C120" s="75" t="b">
        <v>1</v>
      </c>
      <c r="D120" s="73" t="s">
        <v>1009</v>
      </c>
      <c r="E120" s="76" t="s">
        <v>165</v>
      </c>
      <c r="F120" s="76" t="s">
        <v>1010</v>
      </c>
      <c r="G120" s="73" t="s">
        <v>111</v>
      </c>
      <c r="H120" s="77" t="s">
        <v>760</v>
      </c>
      <c r="I120" s="84" t="s">
        <v>763</v>
      </c>
      <c r="J120" s="84"/>
      <c r="K120" s="85">
        <v>1</v>
      </c>
      <c r="L120" s="85" t="s">
        <v>604</v>
      </c>
      <c r="M120" s="85"/>
      <c r="N120" s="85">
        <v>1</v>
      </c>
      <c r="O120" s="79" t="b">
        <v>1</v>
      </c>
      <c r="P120" s="79" t="b">
        <v>0</v>
      </c>
      <c r="Q120" s="78">
        <v>25</v>
      </c>
      <c r="R120" s="78">
        <v>1126</v>
      </c>
    </row>
  </sheetData>
  <dataConsolidate/>
  <mergeCells count="1">
    <mergeCell ref="B2:G2"/>
  </mergeCells>
  <conditionalFormatting sqref="B5:R120">
    <cfRule type="expression" dxfId="34" priority="5">
      <formula>$C5 = FALSE</formula>
    </cfRule>
  </conditionalFormatting>
  <conditionalFormatting sqref="C5:C120 I5:J120 P5:P120">
    <cfRule type="containsText" dxfId="33" priority="6" operator="containsText" text="TRUE">
      <formula>NOT(ISERROR(SEARCH("TRUE",C5)))</formula>
    </cfRule>
    <cfRule type="containsText" dxfId="32" priority="7" operator="containsText" text="FALSE">
      <formula>NOT(ISERROR(SEARCH("FALSE",C5)))</formula>
    </cfRule>
  </conditionalFormatting>
  <conditionalFormatting sqref="O5:O120">
    <cfRule type="containsText" dxfId="31" priority="3" operator="containsText" text="TRUE">
      <formula>NOT(ISERROR(SEARCH("TRUE",O5)))</formula>
    </cfRule>
    <cfRule type="containsText" dxfId="30" priority="4" operator="containsText" text="FALSE">
      <formula>NOT(ISERROR(SEARCH("FALSE",O5)))</formula>
    </cfRule>
  </conditionalFormatting>
  <conditionalFormatting sqref="P5:P120">
    <cfRule type="containsText" dxfId="29" priority="1" operator="containsText" text="TRUE">
      <formula>NOT(ISERROR(SEARCH("TRUE",P5)))</formula>
    </cfRule>
    <cfRule type="containsText" dxfId="28" priority="2" operator="containsText" text="FALSE">
      <formula>NOT(ISERROR(SEARCH("FALSE",P5)))</formula>
    </cfRule>
  </conditionalFormatting>
  <dataValidations count="6">
    <dataValidation type="list" allowBlank="1" showInputMessage="1" showErrorMessage="1" sqref="C5:C120">
      <formula1>"TRUE, FALSE"</formula1>
    </dataValidation>
    <dataValidation type="list" allowBlank="1" showInputMessage="1" showErrorMessage="1" sqref="G5:G120">
      <formula1>INDIRECT("FacilityType[Code]")</formula1>
    </dataValidation>
    <dataValidation type="list" allowBlank="1" showInputMessage="1" showErrorMessage="1" sqref="H5:H120">
      <formula1>INDIRECT("Jurisdictions[Code]")</formula1>
    </dataValidation>
    <dataValidation type="list" allowBlank="1" showInputMessage="1" showErrorMessage="1" sqref="L5:L120">
      <formula1>"CAP_TRADE, TAX"</formula1>
    </dataValidation>
    <dataValidation type="list" allowBlank="1" showInputMessage="1" showErrorMessage="1" sqref="O5:P120">
      <formula1>"TRUE,FALSE"</formula1>
    </dataValidation>
    <dataValidation type="list" allowBlank="1" showInputMessage="1" showErrorMessage="1" sqref="I5:I120">
      <formula1>INDIRECT("Companies[Code]")</formula1>
    </dataValidation>
  </dataValidations>
  <pageMargins left="0.7" right="0.7" top="0.75" bottom="0.75" header="0.3" footer="0.3"/>
  <pageSetup scale="6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6"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Q309"/>
  <sheetViews>
    <sheetView showGridLines="0" topLeftCell="A2" zoomScaleNormal="100" workbookViewId="0">
      <pane xSplit="1" ySplit="3" topLeftCell="B278" activePane="bottomRight" state="frozen"/>
      <selection activeCell="J37" sqref="J37"/>
      <selection pane="topRight" activeCell="J37" sqref="J37"/>
      <selection pane="bottomLeft" activeCell="J37" sqref="J37"/>
      <selection pane="bottomRight" activeCell="E307" sqref="E307"/>
    </sheetView>
  </sheetViews>
  <sheetFormatPr defaultRowHeight="15"/>
  <cols>
    <col min="1" max="1" width="21.28515625" style="27" customWidth="1"/>
    <col min="2" max="2" width="6.42578125" customWidth="1"/>
    <col min="3" max="3" width="11.140625" style="15" customWidth="1"/>
    <col min="4" max="4" width="20.85546875" customWidth="1"/>
    <col min="5" max="5" width="21.42578125" bestFit="1" customWidth="1"/>
    <col min="6" max="6" width="20.28515625" bestFit="1" customWidth="1"/>
    <col min="7" max="7" width="14.28515625" customWidth="1"/>
    <col min="8" max="8" width="13.42578125" customWidth="1"/>
    <col min="9" max="9" width="10.140625" hidden="1" customWidth="1"/>
    <col min="10" max="10" width="16.28515625" hidden="1" customWidth="1"/>
    <col min="11" max="11" width="15.85546875" hidden="1" customWidth="1"/>
    <col min="12" max="12" width="7.42578125" hidden="1" customWidth="1"/>
    <col min="13" max="13" width="9.42578125" bestFit="1" customWidth="1"/>
    <col min="14" max="14" width="14.28515625" bestFit="1" customWidth="1"/>
    <col min="15" max="15" width="13.42578125" bestFit="1" customWidth="1"/>
    <col min="16" max="16" width="16.28515625" bestFit="1" customWidth="1"/>
    <col min="17" max="17" width="15.140625" bestFit="1" customWidth="1"/>
    <col min="18" max="18" width="15.85546875" customWidth="1"/>
    <col min="19" max="19" width="7.42578125" customWidth="1"/>
  </cols>
  <sheetData>
    <row r="1" spans="1:17" ht="74.25" hidden="1" customHeight="1">
      <c r="A1" s="16"/>
      <c r="Q1">
        <v>52</v>
      </c>
    </row>
    <row r="2" spans="1:17" s="5" customFormat="1" ht="29.25" customHeight="1" thickBot="1">
      <c r="A2" s="27"/>
      <c r="B2" s="101" t="s">
        <v>179</v>
      </c>
      <c r="C2" s="101"/>
      <c r="D2" s="101"/>
      <c r="E2" s="101"/>
      <c r="F2" s="101"/>
      <c r="G2" s="101"/>
      <c r="H2" s="101"/>
      <c r="I2" s="30"/>
      <c r="J2" s="30"/>
    </row>
    <row r="3" spans="1:17" s="4" customFormat="1" ht="9" customHeight="1" thickTop="1">
      <c r="A3" s="27"/>
      <c r="C3" s="24"/>
    </row>
    <row r="4" spans="1:17" s="13" customFormat="1" ht="15" customHeight="1">
      <c r="A4" s="27"/>
      <c r="B4" s="20" t="s">
        <v>11</v>
      </c>
      <c r="C4" s="19" t="s">
        <v>1</v>
      </c>
      <c r="D4" s="19" t="s">
        <v>176</v>
      </c>
      <c r="E4" s="19" t="s">
        <v>177</v>
      </c>
      <c r="F4" s="19" t="s">
        <v>178</v>
      </c>
      <c r="G4" s="19" t="s">
        <v>19</v>
      </c>
      <c r="H4" s="19" t="s">
        <v>45</v>
      </c>
      <c r="I4" s="19" t="s">
        <v>0</v>
      </c>
      <c r="J4" s="19" t="s">
        <v>46</v>
      </c>
      <c r="K4" s="19" t="s">
        <v>2</v>
      </c>
      <c r="L4" s="19" t="s">
        <v>20</v>
      </c>
    </row>
    <row r="5" spans="1:17">
      <c r="A5" s="28"/>
      <c r="B5" s="32">
        <f>IF(FacilitySchedule[[#This Row],[Active]]=TRUE,1,0)</f>
        <v>0</v>
      </c>
      <c r="C5" s="33" t="b">
        <v>0</v>
      </c>
      <c r="D5" s="72" t="s">
        <v>633</v>
      </c>
      <c r="E5" s="50" t="s">
        <v>1014</v>
      </c>
      <c r="F5" s="50"/>
      <c r="G5" s="65"/>
      <c r="H5" s="65">
        <v>43100</v>
      </c>
      <c r="I5" s="73" t="s">
        <v>1013</v>
      </c>
      <c r="J5" s="31">
        <v>365</v>
      </c>
      <c r="K5" s="63">
        <v>25</v>
      </c>
      <c r="L5" s="64">
        <v>1469</v>
      </c>
    </row>
    <row r="6" spans="1:17">
      <c r="B6" s="73">
        <f>IF(FacilitySchedule[[#This Row],[Active]]=TRUE,1,0)</f>
        <v>0</v>
      </c>
      <c r="C6" s="75" t="b">
        <v>0</v>
      </c>
      <c r="D6" s="74" t="s">
        <v>633</v>
      </c>
      <c r="E6" s="76" t="s">
        <v>1016</v>
      </c>
      <c r="F6" s="76"/>
      <c r="G6" s="77">
        <v>43101</v>
      </c>
      <c r="H6" s="77">
        <v>43465</v>
      </c>
      <c r="I6" s="73" t="s">
        <v>1015</v>
      </c>
      <c r="J6" s="73">
        <v>365</v>
      </c>
      <c r="K6" s="78">
        <v>25</v>
      </c>
      <c r="L6" s="78">
        <v>1470</v>
      </c>
    </row>
    <row r="7" spans="1:17">
      <c r="B7" s="73">
        <f>IF(FacilitySchedule[[#This Row],[Active]]=TRUE,1,0)</f>
        <v>0</v>
      </c>
      <c r="C7" s="75" t="b">
        <v>0</v>
      </c>
      <c r="D7" s="74" t="s">
        <v>633</v>
      </c>
      <c r="E7" s="76" t="s">
        <v>1018</v>
      </c>
      <c r="F7" s="76"/>
      <c r="G7" s="77">
        <v>43466</v>
      </c>
      <c r="H7" s="77"/>
      <c r="I7" s="73" t="s">
        <v>1017</v>
      </c>
      <c r="J7" s="73">
        <v>365</v>
      </c>
      <c r="K7" s="78">
        <v>25</v>
      </c>
      <c r="L7" s="78">
        <v>1471</v>
      </c>
    </row>
    <row r="8" spans="1:17">
      <c r="B8" s="73">
        <f>IF(FacilitySchedule[[#This Row],[Active]]=TRUE,1,0)</f>
        <v>0</v>
      </c>
      <c r="C8" s="75" t="b">
        <v>0</v>
      </c>
      <c r="D8" s="74" t="s">
        <v>633</v>
      </c>
      <c r="E8" s="76" t="s">
        <v>1020</v>
      </c>
      <c r="F8" s="76"/>
      <c r="G8" s="77">
        <v>43831</v>
      </c>
      <c r="H8" s="77"/>
      <c r="I8" s="73" t="s">
        <v>1019</v>
      </c>
      <c r="J8" s="73">
        <v>365</v>
      </c>
      <c r="K8" s="78">
        <v>25</v>
      </c>
      <c r="L8" s="78">
        <v>1472</v>
      </c>
    </row>
    <row r="9" spans="1:17">
      <c r="B9" s="73">
        <f>IF(FacilitySchedule[[#This Row],[Active]]=TRUE,1,0)</f>
        <v>0</v>
      </c>
      <c r="C9" s="75" t="b">
        <v>0</v>
      </c>
      <c r="D9" s="74" t="s">
        <v>633</v>
      </c>
      <c r="E9" s="76" t="s">
        <v>1022</v>
      </c>
      <c r="F9" s="76"/>
      <c r="G9" s="77">
        <v>44197</v>
      </c>
      <c r="H9" s="77"/>
      <c r="I9" s="73" t="s">
        <v>1021</v>
      </c>
      <c r="J9" s="73">
        <v>365</v>
      </c>
      <c r="K9" s="78">
        <v>25</v>
      </c>
      <c r="L9" s="78">
        <v>1473</v>
      </c>
    </row>
    <row r="10" spans="1:17">
      <c r="B10" s="73">
        <f>IF(FacilitySchedule[[#This Row],[Active]]=TRUE,1,0)</f>
        <v>0</v>
      </c>
      <c r="C10" s="75" t="b">
        <v>0</v>
      </c>
      <c r="D10" s="74" t="s">
        <v>633</v>
      </c>
      <c r="E10" s="76" t="s">
        <v>1024</v>
      </c>
      <c r="F10" s="76"/>
      <c r="G10" s="77">
        <v>44562</v>
      </c>
      <c r="H10" s="77"/>
      <c r="I10" s="73" t="s">
        <v>1023</v>
      </c>
      <c r="J10" s="73">
        <v>365</v>
      </c>
      <c r="K10" s="78">
        <v>25</v>
      </c>
      <c r="L10" s="78">
        <v>1474</v>
      </c>
    </row>
    <row r="11" spans="1:17">
      <c r="B11" s="73">
        <f>IF(FacilitySchedule[[#This Row],[Active]]=TRUE,1,0)</f>
        <v>0</v>
      </c>
      <c r="C11" s="75" t="b">
        <v>0</v>
      </c>
      <c r="D11" s="74" t="s">
        <v>637</v>
      </c>
      <c r="E11" s="76" t="s">
        <v>1026</v>
      </c>
      <c r="F11" s="76"/>
      <c r="G11" s="77"/>
      <c r="H11" s="77">
        <v>43100</v>
      </c>
      <c r="I11" s="73" t="s">
        <v>1025</v>
      </c>
      <c r="J11" s="73">
        <v>365</v>
      </c>
      <c r="K11" s="78">
        <v>25</v>
      </c>
      <c r="L11" s="78">
        <v>1475</v>
      </c>
    </row>
    <row r="12" spans="1:17">
      <c r="B12" s="73">
        <f>IF(FacilitySchedule[[#This Row],[Active]]=TRUE,1,0)</f>
        <v>0</v>
      </c>
      <c r="C12" s="75" t="b">
        <v>0</v>
      </c>
      <c r="D12" s="74" t="s">
        <v>637</v>
      </c>
      <c r="E12" s="76" t="s">
        <v>1028</v>
      </c>
      <c r="F12" s="76"/>
      <c r="G12" s="77">
        <v>43101</v>
      </c>
      <c r="H12" s="77">
        <v>43465</v>
      </c>
      <c r="I12" s="73" t="s">
        <v>1027</v>
      </c>
      <c r="J12" s="73">
        <v>365</v>
      </c>
      <c r="K12" s="78">
        <v>25</v>
      </c>
      <c r="L12" s="78">
        <v>1476</v>
      </c>
    </row>
    <row r="13" spans="1:17">
      <c r="B13" s="73">
        <f>IF(FacilitySchedule[[#This Row],[Active]]=TRUE,1,0)</f>
        <v>0</v>
      </c>
      <c r="C13" s="75" t="b">
        <v>0</v>
      </c>
      <c r="D13" s="74" t="s">
        <v>637</v>
      </c>
      <c r="E13" s="76" t="s">
        <v>1030</v>
      </c>
      <c r="F13" s="76"/>
      <c r="G13" s="77">
        <v>43466</v>
      </c>
      <c r="H13" s="77"/>
      <c r="I13" s="73" t="s">
        <v>1029</v>
      </c>
      <c r="J13" s="73">
        <v>365</v>
      </c>
      <c r="K13" s="78">
        <v>25</v>
      </c>
      <c r="L13" s="78">
        <v>1477</v>
      </c>
    </row>
    <row r="14" spans="1:17">
      <c r="B14" s="73">
        <f>IF(FacilitySchedule[[#This Row],[Active]]=TRUE,1,0)</f>
        <v>0</v>
      </c>
      <c r="C14" s="75" t="b">
        <v>0</v>
      </c>
      <c r="D14" s="74" t="s">
        <v>637</v>
      </c>
      <c r="E14" s="76" t="s">
        <v>1032</v>
      </c>
      <c r="F14" s="76"/>
      <c r="G14" s="77"/>
      <c r="H14" s="77"/>
      <c r="I14" s="73" t="s">
        <v>1031</v>
      </c>
      <c r="J14" s="73">
        <v>365</v>
      </c>
      <c r="K14" s="78">
        <v>25</v>
      </c>
      <c r="L14" s="78">
        <v>1478</v>
      </c>
    </row>
    <row r="15" spans="1:17">
      <c r="B15" s="73">
        <f>IF(FacilitySchedule[[#This Row],[Active]]=TRUE,1,0)</f>
        <v>0</v>
      </c>
      <c r="C15" s="75" t="b">
        <v>0</v>
      </c>
      <c r="D15" s="74" t="s">
        <v>780</v>
      </c>
      <c r="E15" s="76" t="s">
        <v>1030</v>
      </c>
      <c r="F15" s="76"/>
      <c r="G15" s="77"/>
      <c r="H15" s="77"/>
      <c r="I15" s="73" t="s">
        <v>1033</v>
      </c>
      <c r="J15" s="73">
        <v>365</v>
      </c>
      <c r="K15" s="78">
        <v>25</v>
      </c>
      <c r="L15" s="78">
        <v>1479</v>
      </c>
    </row>
    <row r="16" spans="1:17">
      <c r="B16" s="73">
        <f>IF(FacilitySchedule[[#This Row],[Active]]=TRUE,1,0)</f>
        <v>0</v>
      </c>
      <c r="C16" s="75" t="b">
        <v>0</v>
      </c>
      <c r="D16" s="74" t="s">
        <v>783</v>
      </c>
      <c r="E16" s="76" t="s">
        <v>649</v>
      </c>
      <c r="F16" s="76"/>
      <c r="G16" s="77"/>
      <c r="H16" s="77">
        <v>43100</v>
      </c>
      <c r="I16" s="73" t="s">
        <v>1034</v>
      </c>
      <c r="J16" s="73">
        <v>365</v>
      </c>
      <c r="K16" s="78">
        <v>25</v>
      </c>
      <c r="L16" s="78">
        <v>1480</v>
      </c>
    </row>
    <row r="17" spans="2:12">
      <c r="B17" s="73">
        <f>IF(FacilitySchedule[[#This Row],[Active]]=TRUE,1,0)</f>
        <v>0</v>
      </c>
      <c r="C17" s="75" t="b">
        <v>0</v>
      </c>
      <c r="D17" s="74" t="s">
        <v>783</v>
      </c>
      <c r="E17" s="76" t="s">
        <v>1036</v>
      </c>
      <c r="F17" s="76"/>
      <c r="G17" s="77">
        <v>43101</v>
      </c>
      <c r="H17" s="77"/>
      <c r="I17" s="73" t="s">
        <v>1035</v>
      </c>
      <c r="J17" s="73">
        <v>365</v>
      </c>
      <c r="K17" s="78">
        <v>25</v>
      </c>
      <c r="L17" s="78">
        <v>1481</v>
      </c>
    </row>
    <row r="18" spans="2:12">
      <c r="B18" s="73">
        <f>IF(FacilitySchedule[[#This Row],[Active]]=TRUE,1,0)</f>
        <v>0</v>
      </c>
      <c r="C18" s="75" t="b">
        <v>0</v>
      </c>
      <c r="D18" s="74" t="s">
        <v>783</v>
      </c>
      <c r="E18" s="76" t="s">
        <v>1038</v>
      </c>
      <c r="F18" s="76"/>
      <c r="G18" s="77">
        <v>43466</v>
      </c>
      <c r="H18" s="77"/>
      <c r="I18" s="73" t="s">
        <v>1037</v>
      </c>
      <c r="J18" s="73">
        <v>365</v>
      </c>
      <c r="K18" s="78">
        <v>25</v>
      </c>
      <c r="L18" s="78">
        <v>1482</v>
      </c>
    </row>
    <row r="19" spans="2:12">
      <c r="B19" s="73">
        <f>IF(FacilitySchedule[[#This Row],[Active]]=TRUE,1,0)</f>
        <v>0</v>
      </c>
      <c r="C19" s="75" t="b">
        <v>0</v>
      </c>
      <c r="D19" s="74" t="s">
        <v>783</v>
      </c>
      <c r="E19" s="76" t="s">
        <v>1040</v>
      </c>
      <c r="F19" s="76"/>
      <c r="G19" s="77">
        <v>43831</v>
      </c>
      <c r="H19" s="77"/>
      <c r="I19" s="73" t="s">
        <v>1039</v>
      </c>
      <c r="J19" s="73">
        <v>365</v>
      </c>
      <c r="K19" s="78">
        <v>25</v>
      </c>
      <c r="L19" s="78">
        <v>1483</v>
      </c>
    </row>
    <row r="20" spans="2:12">
      <c r="B20" s="73">
        <f>IF(FacilitySchedule[[#This Row],[Active]]=TRUE,1,0)</f>
        <v>0</v>
      </c>
      <c r="C20" s="75" t="b">
        <v>0</v>
      </c>
      <c r="D20" s="74" t="s">
        <v>783</v>
      </c>
      <c r="E20" s="76" t="s">
        <v>1042</v>
      </c>
      <c r="F20" s="76"/>
      <c r="G20" s="77">
        <v>44197</v>
      </c>
      <c r="H20" s="77"/>
      <c r="I20" s="73" t="s">
        <v>1041</v>
      </c>
      <c r="J20" s="73">
        <v>365</v>
      </c>
      <c r="K20" s="78">
        <v>25</v>
      </c>
      <c r="L20" s="78">
        <v>1484</v>
      </c>
    </row>
    <row r="21" spans="2:12">
      <c r="B21" s="73">
        <f>IF(FacilitySchedule[[#This Row],[Active]]=TRUE,1,0)</f>
        <v>0</v>
      </c>
      <c r="C21" s="75" t="b">
        <v>0</v>
      </c>
      <c r="D21" s="74" t="s">
        <v>786</v>
      </c>
      <c r="E21" s="76" t="s">
        <v>1044</v>
      </c>
      <c r="F21" s="76"/>
      <c r="G21" s="77"/>
      <c r="H21" s="77">
        <v>43100</v>
      </c>
      <c r="I21" s="73" t="s">
        <v>1043</v>
      </c>
      <c r="J21" s="73">
        <v>365</v>
      </c>
      <c r="K21" s="78">
        <v>25</v>
      </c>
      <c r="L21" s="78">
        <v>1485</v>
      </c>
    </row>
    <row r="22" spans="2:12">
      <c r="B22" s="73">
        <f>IF(FacilitySchedule[[#This Row],[Active]]=TRUE,1,0)</f>
        <v>0</v>
      </c>
      <c r="C22" s="75" t="b">
        <v>0</v>
      </c>
      <c r="D22" s="74" t="s">
        <v>786</v>
      </c>
      <c r="E22" s="76" t="s">
        <v>1044</v>
      </c>
      <c r="F22" s="76"/>
      <c r="G22" s="77">
        <v>43101</v>
      </c>
      <c r="H22" s="77"/>
      <c r="I22" s="73" t="s">
        <v>1045</v>
      </c>
      <c r="J22" s="73">
        <v>365</v>
      </c>
      <c r="K22" s="78">
        <v>25</v>
      </c>
      <c r="L22" s="78">
        <v>1486</v>
      </c>
    </row>
    <row r="23" spans="2:12">
      <c r="B23" s="73">
        <f>IF(FacilitySchedule[[#This Row],[Active]]=TRUE,1,0)</f>
        <v>0</v>
      </c>
      <c r="C23" s="75" t="b">
        <v>0</v>
      </c>
      <c r="D23" s="74" t="s">
        <v>786</v>
      </c>
      <c r="E23" s="76" t="s">
        <v>1047</v>
      </c>
      <c r="F23" s="76"/>
      <c r="G23" s="77">
        <v>43466</v>
      </c>
      <c r="H23" s="77"/>
      <c r="I23" s="73" t="s">
        <v>1046</v>
      </c>
      <c r="J23" s="73">
        <v>365</v>
      </c>
      <c r="K23" s="78">
        <v>25</v>
      </c>
      <c r="L23" s="78">
        <v>1487</v>
      </c>
    </row>
    <row r="24" spans="2:12">
      <c r="B24" s="73">
        <f>IF(FacilitySchedule[[#This Row],[Active]]=TRUE,1,0)</f>
        <v>0</v>
      </c>
      <c r="C24" s="75" t="b">
        <v>0</v>
      </c>
      <c r="D24" s="74" t="s">
        <v>786</v>
      </c>
      <c r="E24" s="76" t="s">
        <v>1049</v>
      </c>
      <c r="F24" s="76"/>
      <c r="G24" s="77">
        <v>43831</v>
      </c>
      <c r="H24" s="77"/>
      <c r="I24" s="73" t="s">
        <v>1048</v>
      </c>
      <c r="J24" s="73">
        <v>365</v>
      </c>
      <c r="K24" s="78">
        <v>25</v>
      </c>
      <c r="L24" s="78">
        <v>1488</v>
      </c>
    </row>
    <row r="25" spans="2:12">
      <c r="B25" s="73">
        <f>IF(FacilitySchedule[[#This Row],[Active]]=TRUE,1,0)</f>
        <v>0</v>
      </c>
      <c r="C25" s="75" t="b">
        <v>0</v>
      </c>
      <c r="D25" s="74" t="s">
        <v>786</v>
      </c>
      <c r="E25" s="76" t="s">
        <v>1030</v>
      </c>
      <c r="F25" s="76"/>
      <c r="G25" s="77">
        <v>44197</v>
      </c>
      <c r="H25" s="77"/>
      <c r="I25" s="73" t="s">
        <v>1050</v>
      </c>
      <c r="J25" s="73">
        <v>365</v>
      </c>
      <c r="K25" s="78">
        <v>25</v>
      </c>
      <c r="L25" s="78">
        <v>1489</v>
      </c>
    </row>
    <row r="26" spans="2:12">
      <c r="B26" s="73">
        <f>IF(FacilitySchedule[[#This Row],[Active]]=TRUE,1,0)</f>
        <v>0</v>
      </c>
      <c r="C26" s="75" t="b">
        <v>0</v>
      </c>
      <c r="D26" s="74" t="s">
        <v>952</v>
      </c>
      <c r="E26" s="76"/>
      <c r="F26" s="76" t="s">
        <v>1052</v>
      </c>
      <c r="G26" s="77"/>
      <c r="H26" s="77"/>
      <c r="I26" s="73" t="s">
        <v>1051</v>
      </c>
      <c r="J26" s="73">
        <v>365</v>
      </c>
      <c r="K26" s="78">
        <v>25</v>
      </c>
      <c r="L26" s="78">
        <v>1490</v>
      </c>
    </row>
    <row r="27" spans="2:12">
      <c r="B27" s="73">
        <f>IF(FacilitySchedule[[#This Row],[Active]]=TRUE,1,0)</f>
        <v>0</v>
      </c>
      <c r="C27" s="75" t="b">
        <v>0</v>
      </c>
      <c r="D27" s="74" t="s">
        <v>952</v>
      </c>
      <c r="E27" s="76"/>
      <c r="F27" s="76" t="s">
        <v>1053</v>
      </c>
      <c r="G27" s="77"/>
      <c r="H27" s="77"/>
      <c r="I27" s="73" t="s">
        <v>1051</v>
      </c>
      <c r="J27" s="73">
        <v>365</v>
      </c>
      <c r="K27" s="78">
        <v>25</v>
      </c>
      <c r="L27" s="78">
        <v>1491</v>
      </c>
    </row>
    <row r="28" spans="2:12">
      <c r="B28" s="73">
        <f>IF(FacilitySchedule[[#This Row],[Active]]=TRUE,1,0)</f>
        <v>0</v>
      </c>
      <c r="C28" s="75" t="b">
        <v>0</v>
      </c>
      <c r="D28" s="74" t="s">
        <v>954</v>
      </c>
      <c r="E28" s="76" t="s">
        <v>1055</v>
      </c>
      <c r="F28" s="76"/>
      <c r="G28" s="77"/>
      <c r="H28" s="77"/>
      <c r="I28" s="73" t="s">
        <v>1054</v>
      </c>
      <c r="J28" s="73">
        <v>365</v>
      </c>
      <c r="K28" s="78">
        <v>25</v>
      </c>
      <c r="L28" s="78">
        <v>1492</v>
      </c>
    </row>
    <row r="29" spans="2:12">
      <c r="B29" s="73">
        <f>IF(FacilitySchedule[[#This Row],[Active]]=TRUE,1,0)</f>
        <v>0</v>
      </c>
      <c r="C29" s="75" t="b">
        <v>0</v>
      </c>
      <c r="D29" s="74" t="s">
        <v>954</v>
      </c>
      <c r="E29" s="76" t="s">
        <v>1040</v>
      </c>
      <c r="F29" s="76"/>
      <c r="G29" s="77"/>
      <c r="H29" s="77"/>
      <c r="I29" s="73" t="s">
        <v>1054</v>
      </c>
      <c r="J29" s="73">
        <v>365</v>
      </c>
      <c r="K29" s="78">
        <v>25</v>
      </c>
      <c r="L29" s="78">
        <v>1493</v>
      </c>
    </row>
    <row r="30" spans="2:12">
      <c r="B30" s="73">
        <f>IF(FacilitySchedule[[#This Row],[Active]]=TRUE,1,0)</f>
        <v>0</v>
      </c>
      <c r="C30" s="75" t="b">
        <v>0</v>
      </c>
      <c r="D30" s="74" t="s">
        <v>956</v>
      </c>
      <c r="E30" s="76"/>
      <c r="F30" s="76" t="s">
        <v>1052</v>
      </c>
      <c r="G30" s="77"/>
      <c r="H30" s="77"/>
      <c r="I30" s="73" t="s">
        <v>1056</v>
      </c>
      <c r="J30" s="73">
        <v>365</v>
      </c>
      <c r="K30" s="78">
        <v>25</v>
      </c>
      <c r="L30" s="78">
        <v>1494</v>
      </c>
    </row>
    <row r="31" spans="2:12">
      <c r="B31" s="73">
        <f>IF(FacilitySchedule[[#This Row],[Active]]=TRUE,1,0)</f>
        <v>0</v>
      </c>
      <c r="C31" s="75" t="b">
        <v>0</v>
      </c>
      <c r="D31" s="74" t="s">
        <v>956</v>
      </c>
      <c r="E31" s="76"/>
      <c r="F31" s="76" t="s">
        <v>1030</v>
      </c>
      <c r="G31" s="77"/>
      <c r="H31" s="77"/>
      <c r="I31" s="73" t="s">
        <v>1056</v>
      </c>
      <c r="J31" s="73">
        <v>365</v>
      </c>
      <c r="K31" s="78">
        <v>25</v>
      </c>
      <c r="L31" s="78">
        <v>1495</v>
      </c>
    </row>
    <row r="32" spans="2:12">
      <c r="B32" s="73">
        <f>IF(FacilitySchedule[[#This Row],[Active]]=TRUE,1,0)</f>
        <v>0</v>
      </c>
      <c r="C32" s="75" t="b">
        <v>0</v>
      </c>
      <c r="D32" s="74" t="s">
        <v>789</v>
      </c>
      <c r="E32" s="76" t="s">
        <v>1040</v>
      </c>
      <c r="F32" s="76"/>
      <c r="G32" s="77"/>
      <c r="H32" s="77"/>
      <c r="I32" s="73" t="s">
        <v>1057</v>
      </c>
      <c r="J32" s="73">
        <v>365</v>
      </c>
      <c r="K32" s="78">
        <v>25</v>
      </c>
      <c r="L32" s="78">
        <v>1496</v>
      </c>
    </row>
    <row r="33" spans="2:12">
      <c r="B33" s="73">
        <f>IF(FacilitySchedule[[#This Row],[Active]]=TRUE,1,0)</f>
        <v>0</v>
      </c>
      <c r="C33" s="75" t="b">
        <v>0</v>
      </c>
      <c r="D33" s="74" t="s">
        <v>792</v>
      </c>
      <c r="E33" s="76" t="s">
        <v>1030</v>
      </c>
      <c r="F33" s="76"/>
      <c r="G33" s="77"/>
      <c r="H33" s="77"/>
      <c r="I33" s="73" t="s">
        <v>1058</v>
      </c>
      <c r="J33" s="73">
        <v>365</v>
      </c>
      <c r="K33" s="78">
        <v>25</v>
      </c>
      <c r="L33" s="78">
        <v>1497</v>
      </c>
    </row>
    <row r="34" spans="2:12">
      <c r="B34" s="73">
        <f>IF(FacilitySchedule[[#This Row],[Active]]=TRUE,1,0)</f>
        <v>0</v>
      </c>
      <c r="C34" s="75" t="b">
        <v>0</v>
      </c>
      <c r="D34" s="74" t="s">
        <v>795</v>
      </c>
      <c r="E34" s="76" t="s">
        <v>1060</v>
      </c>
      <c r="F34" s="76"/>
      <c r="G34" s="77"/>
      <c r="H34" s="77">
        <v>43100</v>
      </c>
      <c r="I34" s="73" t="s">
        <v>1059</v>
      </c>
      <c r="J34" s="73">
        <v>365</v>
      </c>
      <c r="K34" s="78">
        <v>25</v>
      </c>
      <c r="L34" s="78">
        <v>1498</v>
      </c>
    </row>
    <row r="35" spans="2:12">
      <c r="B35" s="73">
        <f>IF(FacilitySchedule[[#This Row],[Active]]=TRUE,1,0)</f>
        <v>0</v>
      </c>
      <c r="C35" s="75" t="b">
        <v>0</v>
      </c>
      <c r="D35" s="74" t="s">
        <v>795</v>
      </c>
      <c r="E35" s="76" t="s">
        <v>1062</v>
      </c>
      <c r="F35" s="76"/>
      <c r="G35" s="77">
        <v>43101</v>
      </c>
      <c r="H35" s="77"/>
      <c r="I35" s="73" t="s">
        <v>1061</v>
      </c>
      <c r="J35" s="73">
        <v>365</v>
      </c>
      <c r="K35" s="78">
        <v>25</v>
      </c>
      <c r="L35" s="78">
        <v>1499</v>
      </c>
    </row>
    <row r="36" spans="2:12">
      <c r="B36" s="73">
        <f>IF(FacilitySchedule[[#This Row],[Active]]=TRUE,1,0)</f>
        <v>0</v>
      </c>
      <c r="C36" s="75" t="b">
        <v>0</v>
      </c>
      <c r="D36" s="74" t="s">
        <v>795</v>
      </c>
      <c r="E36" s="76" t="s">
        <v>1064</v>
      </c>
      <c r="F36" s="76"/>
      <c r="G36" s="77">
        <v>43466</v>
      </c>
      <c r="H36" s="77"/>
      <c r="I36" s="73" t="s">
        <v>1063</v>
      </c>
      <c r="J36" s="73">
        <v>365</v>
      </c>
      <c r="K36" s="78">
        <v>25</v>
      </c>
      <c r="L36" s="78">
        <v>1500</v>
      </c>
    </row>
    <row r="37" spans="2:12">
      <c r="B37" s="73">
        <f>IF(FacilitySchedule[[#This Row],[Active]]=TRUE,1,0)</f>
        <v>0</v>
      </c>
      <c r="C37" s="75" t="b">
        <v>0</v>
      </c>
      <c r="D37" s="74" t="s">
        <v>795</v>
      </c>
      <c r="E37" s="76" t="s">
        <v>1066</v>
      </c>
      <c r="F37" s="76"/>
      <c r="G37" s="77">
        <v>43831</v>
      </c>
      <c r="H37" s="77"/>
      <c r="I37" s="73" t="s">
        <v>1065</v>
      </c>
      <c r="J37" s="73">
        <v>365</v>
      </c>
      <c r="K37" s="78">
        <v>25</v>
      </c>
      <c r="L37" s="78">
        <v>1501</v>
      </c>
    </row>
    <row r="38" spans="2:12">
      <c r="B38" s="73">
        <f>IF(FacilitySchedule[[#This Row],[Active]]=TRUE,1,0)</f>
        <v>0</v>
      </c>
      <c r="C38" s="75" t="b">
        <v>0</v>
      </c>
      <c r="D38" s="74" t="s">
        <v>795</v>
      </c>
      <c r="E38" s="76" t="s">
        <v>1068</v>
      </c>
      <c r="F38" s="76"/>
      <c r="G38" s="77">
        <v>44197</v>
      </c>
      <c r="H38" s="77"/>
      <c r="I38" s="73" t="s">
        <v>1067</v>
      </c>
      <c r="J38" s="73">
        <v>365</v>
      </c>
      <c r="K38" s="78">
        <v>25</v>
      </c>
      <c r="L38" s="78">
        <v>1502</v>
      </c>
    </row>
    <row r="39" spans="2:12">
      <c r="B39" s="73">
        <f>IF(FacilitySchedule[[#This Row],[Active]]=TRUE,1,0)</f>
        <v>0</v>
      </c>
      <c r="C39" s="75" t="b">
        <v>0</v>
      </c>
      <c r="D39" s="74" t="s">
        <v>798</v>
      </c>
      <c r="E39" s="76" t="s">
        <v>1070</v>
      </c>
      <c r="F39" s="76"/>
      <c r="G39" s="77"/>
      <c r="H39" s="77"/>
      <c r="I39" s="73" t="s">
        <v>1069</v>
      </c>
      <c r="J39" s="73">
        <v>365</v>
      </c>
      <c r="K39" s="78">
        <v>25</v>
      </c>
      <c r="L39" s="78">
        <v>1503</v>
      </c>
    </row>
    <row r="40" spans="2:12">
      <c r="B40" s="73">
        <f>IF(FacilitySchedule[[#This Row],[Active]]=TRUE,1,0)</f>
        <v>0</v>
      </c>
      <c r="C40" s="75" t="b">
        <v>0</v>
      </c>
      <c r="D40" s="74" t="s">
        <v>801</v>
      </c>
      <c r="E40" s="76" t="s">
        <v>1068</v>
      </c>
      <c r="F40" s="76"/>
      <c r="G40" s="77"/>
      <c r="H40" s="77">
        <v>43100</v>
      </c>
      <c r="I40" s="73" t="s">
        <v>1071</v>
      </c>
      <c r="J40" s="73">
        <v>365</v>
      </c>
      <c r="K40" s="78">
        <v>25</v>
      </c>
      <c r="L40" s="78">
        <v>1504</v>
      </c>
    </row>
    <row r="41" spans="2:12">
      <c r="B41" s="73">
        <f>IF(FacilitySchedule[[#This Row],[Active]]=TRUE,1,0)</f>
        <v>0</v>
      </c>
      <c r="C41" s="75" t="b">
        <v>0</v>
      </c>
      <c r="D41" s="74" t="s">
        <v>801</v>
      </c>
      <c r="E41" s="76" t="s">
        <v>1073</v>
      </c>
      <c r="F41" s="76"/>
      <c r="G41" s="77">
        <v>43101</v>
      </c>
      <c r="H41" s="77"/>
      <c r="I41" s="73" t="s">
        <v>1072</v>
      </c>
      <c r="J41" s="73">
        <v>365</v>
      </c>
      <c r="K41" s="78">
        <v>25</v>
      </c>
      <c r="L41" s="78">
        <v>1505</v>
      </c>
    </row>
    <row r="42" spans="2:12">
      <c r="B42" s="73">
        <f>IF(FacilitySchedule[[#This Row],[Active]]=TRUE,1,0)</f>
        <v>0</v>
      </c>
      <c r="C42" s="75" t="b">
        <v>0</v>
      </c>
      <c r="D42" s="74" t="s">
        <v>801</v>
      </c>
      <c r="E42" s="76" t="s">
        <v>1075</v>
      </c>
      <c r="F42" s="76"/>
      <c r="G42" s="77">
        <v>43466</v>
      </c>
      <c r="H42" s="77"/>
      <c r="I42" s="73" t="s">
        <v>1074</v>
      </c>
      <c r="J42" s="73">
        <v>365</v>
      </c>
      <c r="K42" s="78">
        <v>25</v>
      </c>
      <c r="L42" s="78">
        <v>1506</v>
      </c>
    </row>
    <row r="43" spans="2:12">
      <c r="B43" s="73">
        <f>IF(FacilitySchedule[[#This Row],[Active]]=TRUE,1,0)</f>
        <v>0</v>
      </c>
      <c r="C43" s="75" t="b">
        <v>0</v>
      </c>
      <c r="D43" s="74" t="s">
        <v>804</v>
      </c>
      <c r="E43" s="76" t="s">
        <v>1040</v>
      </c>
      <c r="F43" s="76"/>
      <c r="G43" s="77"/>
      <c r="H43" s="77"/>
      <c r="I43" s="73" t="s">
        <v>1076</v>
      </c>
      <c r="J43" s="73">
        <v>365</v>
      </c>
      <c r="K43" s="78">
        <v>25</v>
      </c>
      <c r="L43" s="78">
        <v>1507</v>
      </c>
    </row>
    <row r="44" spans="2:12">
      <c r="B44" s="73">
        <f>IF(FacilitySchedule[[#This Row],[Active]]=TRUE,1,0)</f>
        <v>0</v>
      </c>
      <c r="C44" s="75" t="b">
        <v>0</v>
      </c>
      <c r="D44" s="74" t="s">
        <v>808</v>
      </c>
      <c r="E44" s="76"/>
      <c r="F44" s="76" t="s">
        <v>649</v>
      </c>
      <c r="G44" s="77"/>
      <c r="H44" s="77"/>
      <c r="I44" s="73" t="s">
        <v>1077</v>
      </c>
      <c r="J44" s="73">
        <v>365</v>
      </c>
      <c r="K44" s="78">
        <v>25</v>
      </c>
      <c r="L44" s="78">
        <v>1508</v>
      </c>
    </row>
    <row r="45" spans="2:12">
      <c r="B45" s="73">
        <f>IF(FacilitySchedule[[#This Row],[Active]]=TRUE,1,0)</f>
        <v>0</v>
      </c>
      <c r="C45" s="75" t="b">
        <v>0</v>
      </c>
      <c r="D45" s="74" t="s">
        <v>810</v>
      </c>
      <c r="E45" s="76" t="s">
        <v>1079</v>
      </c>
      <c r="F45" s="76"/>
      <c r="G45" s="77"/>
      <c r="H45" s="77"/>
      <c r="I45" s="73" t="s">
        <v>1078</v>
      </c>
      <c r="J45" s="73">
        <v>365</v>
      </c>
      <c r="K45" s="78">
        <v>25</v>
      </c>
      <c r="L45" s="78">
        <v>1509</v>
      </c>
    </row>
    <row r="46" spans="2:12">
      <c r="B46" s="73">
        <f>IF(FacilitySchedule[[#This Row],[Active]]=TRUE,1,0)</f>
        <v>0</v>
      </c>
      <c r="C46" s="75" t="b">
        <v>0</v>
      </c>
      <c r="D46" s="74" t="s">
        <v>813</v>
      </c>
      <c r="E46" s="76" t="s">
        <v>1081</v>
      </c>
      <c r="F46" s="76"/>
      <c r="G46" s="77"/>
      <c r="H46" s="77"/>
      <c r="I46" s="73" t="s">
        <v>1080</v>
      </c>
      <c r="J46" s="73">
        <v>365</v>
      </c>
      <c r="K46" s="78">
        <v>25</v>
      </c>
      <c r="L46" s="78">
        <v>1510</v>
      </c>
    </row>
    <row r="47" spans="2:12">
      <c r="B47" s="73">
        <f>IF(FacilitySchedule[[#This Row],[Active]]=TRUE,1,0)</f>
        <v>0</v>
      </c>
      <c r="C47" s="75" t="b">
        <v>0</v>
      </c>
      <c r="D47" s="74" t="s">
        <v>816</v>
      </c>
      <c r="E47" s="76"/>
      <c r="F47" s="76" t="s">
        <v>1083</v>
      </c>
      <c r="G47" s="77"/>
      <c r="H47" s="77"/>
      <c r="I47" s="73" t="s">
        <v>1082</v>
      </c>
      <c r="J47" s="73">
        <v>365</v>
      </c>
      <c r="K47" s="78">
        <v>25</v>
      </c>
      <c r="L47" s="78">
        <v>1511</v>
      </c>
    </row>
    <row r="48" spans="2:12">
      <c r="B48" s="73">
        <f>IF(FacilitySchedule[[#This Row],[Active]]=TRUE,1,0)</f>
        <v>0</v>
      </c>
      <c r="C48" s="75" t="b">
        <v>0</v>
      </c>
      <c r="D48" s="74" t="s">
        <v>819</v>
      </c>
      <c r="E48" s="76"/>
      <c r="F48" s="76" t="s">
        <v>1085</v>
      </c>
      <c r="G48" s="77"/>
      <c r="H48" s="77"/>
      <c r="I48" s="73" t="s">
        <v>1084</v>
      </c>
      <c r="J48" s="73">
        <v>365</v>
      </c>
      <c r="K48" s="78">
        <v>25</v>
      </c>
      <c r="L48" s="78">
        <v>1512</v>
      </c>
    </row>
    <row r="49" spans="2:12">
      <c r="B49" s="73">
        <f>IF(FacilitySchedule[[#This Row],[Active]]=TRUE,1,0)</f>
        <v>0</v>
      </c>
      <c r="C49" s="75" t="b">
        <v>0</v>
      </c>
      <c r="D49" s="74" t="s">
        <v>822</v>
      </c>
      <c r="E49" s="76" t="s">
        <v>1087</v>
      </c>
      <c r="F49" s="76"/>
      <c r="G49" s="77"/>
      <c r="H49" s="77"/>
      <c r="I49" s="73" t="s">
        <v>1086</v>
      </c>
      <c r="J49" s="73">
        <v>365</v>
      </c>
      <c r="K49" s="78">
        <v>25</v>
      </c>
      <c r="L49" s="78">
        <v>1513</v>
      </c>
    </row>
    <row r="50" spans="2:12">
      <c r="B50" s="73">
        <f>IF(FacilitySchedule[[#This Row],[Active]]=TRUE,1,0)</f>
        <v>0</v>
      </c>
      <c r="C50" s="75" t="b">
        <v>0</v>
      </c>
      <c r="D50" s="74" t="s">
        <v>825</v>
      </c>
      <c r="E50" s="76" t="s">
        <v>1040</v>
      </c>
      <c r="F50" s="76"/>
      <c r="G50" s="77"/>
      <c r="H50" s="77"/>
      <c r="I50" s="73" t="s">
        <v>1088</v>
      </c>
      <c r="J50" s="73">
        <v>365</v>
      </c>
      <c r="K50" s="78">
        <v>25</v>
      </c>
      <c r="L50" s="78">
        <v>1514</v>
      </c>
    </row>
    <row r="51" spans="2:12">
      <c r="B51" s="73">
        <f>IF(FacilitySchedule[[#This Row],[Active]]=TRUE,1,0)</f>
        <v>0</v>
      </c>
      <c r="C51" s="75" t="b">
        <v>0</v>
      </c>
      <c r="D51" s="74" t="s">
        <v>828</v>
      </c>
      <c r="E51" s="76" t="s">
        <v>1090</v>
      </c>
      <c r="F51" s="76"/>
      <c r="G51" s="77"/>
      <c r="H51" s="77">
        <v>43100</v>
      </c>
      <c r="I51" s="73" t="s">
        <v>1089</v>
      </c>
      <c r="J51" s="73">
        <v>365</v>
      </c>
      <c r="K51" s="78">
        <v>25</v>
      </c>
      <c r="L51" s="78">
        <v>1515</v>
      </c>
    </row>
    <row r="52" spans="2:12">
      <c r="B52" s="73">
        <f>IF(FacilitySchedule[[#This Row],[Active]]=TRUE,1,0)</f>
        <v>0</v>
      </c>
      <c r="C52" s="75" t="b">
        <v>0</v>
      </c>
      <c r="D52" s="74" t="s">
        <v>828</v>
      </c>
      <c r="E52" s="76" t="s">
        <v>1092</v>
      </c>
      <c r="F52" s="76"/>
      <c r="G52" s="77">
        <v>43101</v>
      </c>
      <c r="H52" s="77"/>
      <c r="I52" s="73" t="s">
        <v>1091</v>
      </c>
      <c r="J52" s="73">
        <v>365</v>
      </c>
      <c r="K52" s="78">
        <v>25</v>
      </c>
      <c r="L52" s="78">
        <v>1516</v>
      </c>
    </row>
    <row r="53" spans="2:12">
      <c r="B53" s="73">
        <f>IF(FacilitySchedule[[#This Row],[Active]]=TRUE,1,0)</f>
        <v>0</v>
      </c>
      <c r="C53" s="75" t="b">
        <v>0</v>
      </c>
      <c r="D53" s="74" t="s">
        <v>828</v>
      </c>
      <c r="E53" s="76" t="s">
        <v>1094</v>
      </c>
      <c r="F53" s="76"/>
      <c r="G53" s="77">
        <v>43466</v>
      </c>
      <c r="H53" s="77"/>
      <c r="I53" s="73" t="s">
        <v>1093</v>
      </c>
      <c r="J53" s="73">
        <v>365</v>
      </c>
      <c r="K53" s="78">
        <v>25</v>
      </c>
      <c r="L53" s="78">
        <v>1517</v>
      </c>
    </row>
    <row r="54" spans="2:12">
      <c r="B54" s="73">
        <f>IF(FacilitySchedule[[#This Row],[Active]]=TRUE,1,0)</f>
        <v>0</v>
      </c>
      <c r="C54" s="75" t="b">
        <v>0</v>
      </c>
      <c r="D54" s="74" t="s">
        <v>831</v>
      </c>
      <c r="E54" s="76" t="s">
        <v>1030</v>
      </c>
      <c r="F54" s="76"/>
      <c r="G54" s="77"/>
      <c r="H54" s="77"/>
      <c r="I54" s="73" t="s">
        <v>1095</v>
      </c>
      <c r="J54" s="73">
        <v>365</v>
      </c>
      <c r="K54" s="78">
        <v>25</v>
      </c>
      <c r="L54" s="78">
        <v>1518</v>
      </c>
    </row>
    <row r="55" spans="2:12">
      <c r="B55" s="73">
        <f>IF(FacilitySchedule[[#This Row],[Active]]=TRUE,1,0)</f>
        <v>0</v>
      </c>
      <c r="C55" s="75" t="b">
        <v>0</v>
      </c>
      <c r="D55" s="74" t="s">
        <v>833</v>
      </c>
      <c r="E55" s="76"/>
      <c r="F55" s="76" t="s">
        <v>1097</v>
      </c>
      <c r="G55" s="77"/>
      <c r="H55" s="77">
        <v>43100</v>
      </c>
      <c r="I55" s="73" t="s">
        <v>1096</v>
      </c>
      <c r="J55" s="73">
        <v>365</v>
      </c>
      <c r="K55" s="78">
        <v>25</v>
      </c>
      <c r="L55" s="78">
        <v>1519</v>
      </c>
    </row>
    <row r="56" spans="2:12">
      <c r="B56" s="73">
        <f>IF(FacilitySchedule[[#This Row],[Active]]=TRUE,1,0)</f>
        <v>0</v>
      </c>
      <c r="C56" s="75" t="b">
        <v>0</v>
      </c>
      <c r="D56" s="74" t="s">
        <v>833</v>
      </c>
      <c r="E56" s="76"/>
      <c r="F56" s="76" t="s">
        <v>1099</v>
      </c>
      <c r="G56" s="77">
        <v>43101</v>
      </c>
      <c r="H56" s="77"/>
      <c r="I56" s="73" t="s">
        <v>1098</v>
      </c>
      <c r="J56" s="73">
        <v>365</v>
      </c>
      <c r="K56" s="78">
        <v>25</v>
      </c>
      <c r="L56" s="78">
        <v>1520</v>
      </c>
    </row>
    <row r="57" spans="2:12">
      <c r="B57" s="73">
        <f>IF(FacilitySchedule[[#This Row],[Active]]=TRUE,1,0)</f>
        <v>0</v>
      </c>
      <c r="C57" s="75" t="b">
        <v>0</v>
      </c>
      <c r="D57" s="74" t="s">
        <v>833</v>
      </c>
      <c r="E57" s="76"/>
      <c r="F57" s="76" t="s">
        <v>1101</v>
      </c>
      <c r="G57" s="77">
        <v>43466</v>
      </c>
      <c r="H57" s="77"/>
      <c r="I57" s="73" t="s">
        <v>1100</v>
      </c>
      <c r="J57" s="73">
        <v>365</v>
      </c>
      <c r="K57" s="78">
        <v>25</v>
      </c>
      <c r="L57" s="78">
        <v>1521</v>
      </c>
    </row>
    <row r="58" spans="2:12">
      <c r="B58" s="73">
        <f>IF(FacilitySchedule[[#This Row],[Active]]=TRUE,1,0)</f>
        <v>0</v>
      </c>
      <c r="C58" s="75" t="b">
        <v>0</v>
      </c>
      <c r="D58" s="74" t="s">
        <v>834</v>
      </c>
      <c r="E58" s="76"/>
      <c r="F58" s="76" t="s">
        <v>1097</v>
      </c>
      <c r="G58" s="77"/>
      <c r="H58" s="77"/>
      <c r="I58" s="73" t="s">
        <v>1102</v>
      </c>
      <c r="J58" s="73">
        <v>365</v>
      </c>
      <c r="K58" s="78">
        <v>25</v>
      </c>
      <c r="L58" s="78">
        <v>1522</v>
      </c>
    </row>
    <row r="59" spans="2:12">
      <c r="B59" s="73">
        <f>IF(FacilitySchedule[[#This Row],[Active]]=TRUE,1,0)</f>
        <v>0</v>
      </c>
      <c r="C59" s="75" t="b">
        <v>0</v>
      </c>
      <c r="D59" s="74" t="s">
        <v>835</v>
      </c>
      <c r="E59" s="76" t="s">
        <v>1040</v>
      </c>
      <c r="F59" s="76"/>
      <c r="G59" s="77"/>
      <c r="H59" s="77">
        <v>43100</v>
      </c>
      <c r="I59" s="73" t="s">
        <v>1103</v>
      </c>
      <c r="J59" s="73">
        <v>365</v>
      </c>
      <c r="K59" s="78">
        <v>25</v>
      </c>
      <c r="L59" s="78">
        <v>1523</v>
      </c>
    </row>
    <row r="60" spans="2:12">
      <c r="B60" s="73">
        <f>IF(FacilitySchedule[[#This Row],[Active]]=TRUE,1,0)</f>
        <v>0</v>
      </c>
      <c r="C60" s="75" t="b">
        <v>0</v>
      </c>
      <c r="D60" s="74" t="s">
        <v>835</v>
      </c>
      <c r="E60" s="76" t="s">
        <v>1092</v>
      </c>
      <c r="F60" s="76"/>
      <c r="G60" s="77">
        <v>43101</v>
      </c>
      <c r="H60" s="77"/>
      <c r="I60" s="73" t="s">
        <v>1104</v>
      </c>
      <c r="J60" s="73">
        <v>365</v>
      </c>
      <c r="K60" s="78">
        <v>25</v>
      </c>
      <c r="L60" s="78">
        <v>1524</v>
      </c>
    </row>
    <row r="61" spans="2:12">
      <c r="B61" s="73">
        <f>IF(FacilitySchedule[[#This Row],[Active]]=TRUE,1,0)</f>
        <v>0</v>
      </c>
      <c r="C61" s="75" t="b">
        <v>0</v>
      </c>
      <c r="D61" s="74" t="s">
        <v>835</v>
      </c>
      <c r="E61" s="76" t="s">
        <v>650</v>
      </c>
      <c r="F61" s="76"/>
      <c r="G61" s="77">
        <v>43466</v>
      </c>
      <c r="H61" s="77"/>
      <c r="I61" s="73" t="s">
        <v>1105</v>
      </c>
      <c r="J61" s="73">
        <v>365</v>
      </c>
      <c r="K61" s="78">
        <v>25</v>
      </c>
      <c r="L61" s="78">
        <v>1525</v>
      </c>
    </row>
    <row r="62" spans="2:12">
      <c r="B62" s="73">
        <f>IF(FacilitySchedule[[#This Row],[Active]]=TRUE,1,0)</f>
        <v>0</v>
      </c>
      <c r="C62" s="75" t="b">
        <v>0</v>
      </c>
      <c r="D62" s="74" t="s">
        <v>836</v>
      </c>
      <c r="E62" s="76" t="s">
        <v>1090</v>
      </c>
      <c r="F62" s="76"/>
      <c r="G62" s="77"/>
      <c r="H62" s="77"/>
      <c r="I62" s="73" t="s">
        <v>1106</v>
      </c>
      <c r="J62" s="73">
        <v>365</v>
      </c>
      <c r="K62" s="78">
        <v>25</v>
      </c>
      <c r="L62" s="78">
        <v>1526</v>
      </c>
    </row>
    <row r="63" spans="2:12">
      <c r="B63" s="73">
        <f>IF(FacilitySchedule[[#This Row],[Active]]=TRUE,1,0)</f>
        <v>0</v>
      </c>
      <c r="C63" s="75" t="b">
        <v>0</v>
      </c>
      <c r="D63" s="74" t="s">
        <v>837</v>
      </c>
      <c r="E63" s="76" t="s">
        <v>1030</v>
      </c>
      <c r="F63" s="76"/>
      <c r="G63" s="77"/>
      <c r="H63" s="77"/>
      <c r="I63" s="73" t="s">
        <v>1107</v>
      </c>
      <c r="J63" s="73">
        <v>365</v>
      </c>
      <c r="K63" s="78">
        <v>25</v>
      </c>
      <c r="L63" s="78">
        <v>1527</v>
      </c>
    </row>
    <row r="64" spans="2:12">
      <c r="B64" s="73">
        <f>IF(FacilitySchedule[[#This Row],[Active]]=TRUE,1,0)</f>
        <v>0</v>
      </c>
      <c r="C64" s="75" t="b">
        <v>0</v>
      </c>
      <c r="D64" s="74" t="s">
        <v>839</v>
      </c>
      <c r="E64" s="76"/>
      <c r="F64" s="76" t="s">
        <v>1097</v>
      </c>
      <c r="G64" s="77"/>
      <c r="H64" s="77"/>
      <c r="I64" s="73" t="s">
        <v>1108</v>
      </c>
      <c r="J64" s="73">
        <v>365</v>
      </c>
      <c r="K64" s="78">
        <v>25</v>
      </c>
      <c r="L64" s="78">
        <v>1528</v>
      </c>
    </row>
    <row r="65" spans="2:12">
      <c r="B65" s="73">
        <f>IF(FacilitySchedule[[#This Row],[Active]]=TRUE,1,0)</f>
        <v>0</v>
      </c>
      <c r="C65" s="75" t="b">
        <v>0</v>
      </c>
      <c r="D65" s="74" t="s">
        <v>842</v>
      </c>
      <c r="E65" s="76"/>
      <c r="F65" s="76" t="s">
        <v>1097</v>
      </c>
      <c r="G65" s="77"/>
      <c r="H65" s="77">
        <v>43100</v>
      </c>
      <c r="I65" s="73" t="s">
        <v>1109</v>
      </c>
      <c r="J65" s="73">
        <v>365</v>
      </c>
      <c r="K65" s="78">
        <v>25</v>
      </c>
      <c r="L65" s="78">
        <v>1529</v>
      </c>
    </row>
    <row r="66" spans="2:12">
      <c r="B66" s="73">
        <f>IF(FacilitySchedule[[#This Row],[Active]]=TRUE,1,0)</f>
        <v>0</v>
      </c>
      <c r="C66" s="75" t="b">
        <v>0</v>
      </c>
      <c r="D66" s="74" t="s">
        <v>842</v>
      </c>
      <c r="E66" s="76"/>
      <c r="F66" s="76" t="s">
        <v>1111</v>
      </c>
      <c r="G66" s="77">
        <v>43101</v>
      </c>
      <c r="H66" s="77"/>
      <c r="I66" s="73" t="s">
        <v>1110</v>
      </c>
      <c r="J66" s="73">
        <v>365</v>
      </c>
      <c r="K66" s="78">
        <v>25</v>
      </c>
      <c r="L66" s="78">
        <v>1530</v>
      </c>
    </row>
    <row r="67" spans="2:12">
      <c r="B67" s="73">
        <f>IF(FacilitySchedule[[#This Row],[Active]]=TRUE,1,0)</f>
        <v>0</v>
      </c>
      <c r="C67" s="75" t="b">
        <v>0</v>
      </c>
      <c r="D67" s="74" t="s">
        <v>842</v>
      </c>
      <c r="E67" s="76"/>
      <c r="F67" s="76" t="s">
        <v>1113</v>
      </c>
      <c r="G67" s="77">
        <v>43466</v>
      </c>
      <c r="H67" s="77"/>
      <c r="I67" s="73" t="s">
        <v>1112</v>
      </c>
      <c r="J67" s="73">
        <v>365</v>
      </c>
      <c r="K67" s="78">
        <v>25</v>
      </c>
      <c r="L67" s="78">
        <v>1531</v>
      </c>
    </row>
    <row r="68" spans="2:12">
      <c r="B68" s="73">
        <f>IF(FacilitySchedule[[#This Row],[Active]]=TRUE,1,0)</f>
        <v>0</v>
      </c>
      <c r="C68" s="75" t="b">
        <v>0</v>
      </c>
      <c r="D68" s="74" t="s">
        <v>842</v>
      </c>
      <c r="E68" s="76"/>
      <c r="F68" s="76" t="s">
        <v>1115</v>
      </c>
      <c r="G68" s="77">
        <v>43831</v>
      </c>
      <c r="H68" s="77"/>
      <c r="I68" s="73" t="s">
        <v>1114</v>
      </c>
      <c r="J68" s="73">
        <v>365</v>
      </c>
      <c r="K68" s="78">
        <v>25</v>
      </c>
      <c r="L68" s="78">
        <v>1532</v>
      </c>
    </row>
    <row r="69" spans="2:12">
      <c r="B69" s="73">
        <f>IF(FacilitySchedule[[#This Row],[Active]]=TRUE,1,0)</f>
        <v>0</v>
      </c>
      <c r="C69" s="75" t="b">
        <v>0</v>
      </c>
      <c r="D69" s="74" t="s">
        <v>844</v>
      </c>
      <c r="E69" s="76" t="s">
        <v>1040</v>
      </c>
      <c r="F69" s="76"/>
      <c r="G69" s="77"/>
      <c r="H69" s="77">
        <v>43100</v>
      </c>
      <c r="I69" s="73" t="s">
        <v>1116</v>
      </c>
      <c r="J69" s="73">
        <v>365</v>
      </c>
      <c r="K69" s="78">
        <v>25</v>
      </c>
      <c r="L69" s="78">
        <v>1533</v>
      </c>
    </row>
    <row r="70" spans="2:12">
      <c r="B70" s="73">
        <f>IF(FacilitySchedule[[#This Row],[Active]]=TRUE,1,0)</f>
        <v>0</v>
      </c>
      <c r="C70" s="75" t="b">
        <v>0</v>
      </c>
      <c r="D70" s="74" t="s">
        <v>844</v>
      </c>
      <c r="E70" s="76" t="s">
        <v>1092</v>
      </c>
      <c r="F70" s="76"/>
      <c r="G70" s="77">
        <v>43101</v>
      </c>
      <c r="H70" s="77"/>
      <c r="I70" s="73" t="s">
        <v>1117</v>
      </c>
      <c r="J70" s="73">
        <v>365</v>
      </c>
      <c r="K70" s="78">
        <v>25</v>
      </c>
      <c r="L70" s="78">
        <v>1534</v>
      </c>
    </row>
    <row r="71" spans="2:12">
      <c r="B71" s="73">
        <f>IF(FacilitySchedule[[#This Row],[Active]]=TRUE,1,0)</f>
        <v>0</v>
      </c>
      <c r="C71" s="75" t="b">
        <v>0</v>
      </c>
      <c r="D71" s="74" t="s">
        <v>844</v>
      </c>
      <c r="E71" s="76" t="s">
        <v>1068</v>
      </c>
      <c r="F71" s="76"/>
      <c r="G71" s="77">
        <v>43466</v>
      </c>
      <c r="H71" s="77"/>
      <c r="I71" s="73" t="s">
        <v>1118</v>
      </c>
      <c r="J71" s="73">
        <v>365</v>
      </c>
      <c r="K71" s="78">
        <v>25</v>
      </c>
      <c r="L71" s="78">
        <v>1535</v>
      </c>
    </row>
    <row r="72" spans="2:12">
      <c r="B72" s="73">
        <f>IF(FacilitySchedule[[#This Row],[Active]]=TRUE,1,0)</f>
        <v>0</v>
      </c>
      <c r="C72" s="75" t="b">
        <v>0</v>
      </c>
      <c r="D72" s="74" t="s">
        <v>846</v>
      </c>
      <c r="E72" s="76" t="s">
        <v>1030</v>
      </c>
      <c r="F72" s="76"/>
      <c r="G72" s="77"/>
      <c r="H72" s="77"/>
      <c r="I72" s="73" t="s">
        <v>1119</v>
      </c>
      <c r="J72" s="73">
        <v>365</v>
      </c>
      <c r="K72" s="78">
        <v>25</v>
      </c>
      <c r="L72" s="78">
        <v>1536</v>
      </c>
    </row>
    <row r="73" spans="2:12">
      <c r="B73" s="73">
        <f>IF(FacilitySchedule[[#This Row],[Active]]=TRUE,1,0)</f>
        <v>0</v>
      </c>
      <c r="C73" s="75" t="b">
        <v>0</v>
      </c>
      <c r="D73" s="74" t="s">
        <v>848</v>
      </c>
      <c r="E73" s="76" t="s">
        <v>1040</v>
      </c>
      <c r="F73" s="76"/>
      <c r="G73" s="77"/>
      <c r="H73" s="77"/>
      <c r="I73" s="73" t="s">
        <v>1120</v>
      </c>
      <c r="J73" s="73">
        <v>365</v>
      </c>
      <c r="K73" s="78">
        <v>25</v>
      </c>
      <c r="L73" s="78">
        <v>1537</v>
      </c>
    </row>
    <row r="74" spans="2:12">
      <c r="B74" s="73">
        <f>IF(FacilitySchedule[[#This Row],[Active]]=TRUE,1,0)</f>
        <v>0</v>
      </c>
      <c r="C74" s="75" t="b">
        <v>0</v>
      </c>
      <c r="D74" s="74" t="s">
        <v>850</v>
      </c>
      <c r="E74" s="76" t="s">
        <v>1030</v>
      </c>
      <c r="F74" s="76"/>
      <c r="G74" s="77"/>
      <c r="H74" s="77"/>
      <c r="I74" s="73" t="s">
        <v>1121</v>
      </c>
      <c r="J74" s="73">
        <v>365</v>
      </c>
      <c r="K74" s="78">
        <v>25</v>
      </c>
      <c r="L74" s="78">
        <v>1538</v>
      </c>
    </row>
    <row r="75" spans="2:12">
      <c r="B75" s="73">
        <f>IF(FacilitySchedule[[#This Row],[Active]]=TRUE,1,0)</f>
        <v>0</v>
      </c>
      <c r="C75" s="75" t="b">
        <v>0</v>
      </c>
      <c r="D75" s="74" t="s">
        <v>851</v>
      </c>
      <c r="E75" s="76" t="s">
        <v>1030</v>
      </c>
      <c r="F75" s="76"/>
      <c r="G75" s="77"/>
      <c r="H75" s="77"/>
      <c r="I75" s="73" t="s">
        <v>1122</v>
      </c>
      <c r="J75" s="73">
        <v>365</v>
      </c>
      <c r="K75" s="78">
        <v>25</v>
      </c>
      <c r="L75" s="78">
        <v>1539</v>
      </c>
    </row>
    <row r="76" spans="2:12">
      <c r="B76" s="73">
        <f>IF(FacilitySchedule[[#This Row],[Active]]=TRUE,1,0)</f>
        <v>0</v>
      </c>
      <c r="C76" s="75" t="b">
        <v>0</v>
      </c>
      <c r="D76" s="74" t="s">
        <v>852</v>
      </c>
      <c r="E76" s="76" t="s">
        <v>1124</v>
      </c>
      <c r="F76" s="76"/>
      <c r="G76" s="77"/>
      <c r="H76" s="77"/>
      <c r="I76" s="73" t="s">
        <v>1123</v>
      </c>
      <c r="J76" s="73">
        <v>365</v>
      </c>
      <c r="K76" s="78">
        <v>25</v>
      </c>
      <c r="L76" s="78">
        <v>1540</v>
      </c>
    </row>
    <row r="77" spans="2:12">
      <c r="B77" s="73">
        <f>IF(FacilitySchedule[[#This Row],[Active]]=TRUE,1,0)</f>
        <v>0</v>
      </c>
      <c r="C77" s="75" t="b">
        <v>0</v>
      </c>
      <c r="D77" s="74" t="s">
        <v>853</v>
      </c>
      <c r="E77" s="76"/>
      <c r="F77" s="76" t="s">
        <v>1126</v>
      </c>
      <c r="G77" s="77"/>
      <c r="H77" s="77"/>
      <c r="I77" s="73" t="s">
        <v>1125</v>
      </c>
      <c r="J77" s="73">
        <v>365</v>
      </c>
      <c r="K77" s="78">
        <v>25</v>
      </c>
      <c r="L77" s="78">
        <v>1541</v>
      </c>
    </row>
    <row r="78" spans="2:12">
      <c r="B78" s="73">
        <f>IF(FacilitySchedule[[#This Row],[Active]]=TRUE,1,0)</f>
        <v>0</v>
      </c>
      <c r="C78" s="75" t="b">
        <v>0</v>
      </c>
      <c r="D78" s="74" t="s">
        <v>856</v>
      </c>
      <c r="E78" s="76"/>
      <c r="F78" s="76" t="s">
        <v>1128</v>
      </c>
      <c r="G78" s="77"/>
      <c r="H78" s="77"/>
      <c r="I78" s="73" t="s">
        <v>1127</v>
      </c>
      <c r="J78" s="73">
        <v>365</v>
      </c>
      <c r="K78" s="78">
        <v>25</v>
      </c>
      <c r="L78" s="78">
        <v>1542</v>
      </c>
    </row>
    <row r="79" spans="2:12">
      <c r="B79" s="73">
        <f>IF(FacilitySchedule[[#This Row],[Active]]=TRUE,1,0)</f>
        <v>0</v>
      </c>
      <c r="C79" s="75" t="b">
        <v>0</v>
      </c>
      <c r="D79" s="74" t="s">
        <v>858</v>
      </c>
      <c r="E79" s="76"/>
      <c r="F79" s="76" t="s">
        <v>1130</v>
      </c>
      <c r="G79" s="77"/>
      <c r="H79" s="77">
        <v>43100</v>
      </c>
      <c r="I79" s="73" t="s">
        <v>1129</v>
      </c>
      <c r="J79" s="73">
        <v>365</v>
      </c>
      <c r="K79" s="78">
        <v>25</v>
      </c>
      <c r="L79" s="78">
        <v>1543</v>
      </c>
    </row>
    <row r="80" spans="2:12">
      <c r="B80" s="73">
        <f>IF(FacilitySchedule[[#This Row],[Active]]=TRUE,1,0)</f>
        <v>0</v>
      </c>
      <c r="C80" s="75" t="b">
        <v>0</v>
      </c>
      <c r="D80" s="74" t="s">
        <v>858</v>
      </c>
      <c r="E80" s="76"/>
      <c r="F80" s="76" t="s">
        <v>1132</v>
      </c>
      <c r="G80" s="77">
        <v>43101</v>
      </c>
      <c r="H80" s="77"/>
      <c r="I80" s="73" t="s">
        <v>1131</v>
      </c>
      <c r="J80" s="73">
        <v>365</v>
      </c>
      <c r="K80" s="78">
        <v>25</v>
      </c>
      <c r="L80" s="78">
        <v>1544</v>
      </c>
    </row>
    <row r="81" spans="2:12">
      <c r="B81" s="73">
        <f>IF(FacilitySchedule[[#This Row],[Active]]=TRUE,1,0)</f>
        <v>0</v>
      </c>
      <c r="C81" s="75" t="b">
        <v>0</v>
      </c>
      <c r="D81" s="74" t="s">
        <v>858</v>
      </c>
      <c r="E81" s="76"/>
      <c r="F81" s="76" t="s">
        <v>1030</v>
      </c>
      <c r="G81" s="77">
        <v>43466</v>
      </c>
      <c r="H81" s="77"/>
      <c r="I81" s="73" t="s">
        <v>1133</v>
      </c>
      <c r="J81" s="73">
        <v>365</v>
      </c>
      <c r="K81" s="78">
        <v>25</v>
      </c>
      <c r="L81" s="78">
        <v>1545</v>
      </c>
    </row>
    <row r="82" spans="2:12">
      <c r="B82" s="73">
        <f>IF(FacilitySchedule[[#This Row],[Active]]=TRUE,1,0)</f>
        <v>0</v>
      </c>
      <c r="C82" s="75" t="b">
        <v>0</v>
      </c>
      <c r="D82" s="74" t="s">
        <v>866</v>
      </c>
      <c r="E82" s="76" t="s">
        <v>1030</v>
      </c>
      <c r="F82" s="76"/>
      <c r="G82" s="77"/>
      <c r="H82" s="77"/>
      <c r="I82" s="73" t="s">
        <v>1134</v>
      </c>
      <c r="J82" s="73">
        <v>365</v>
      </c>
      <c r="K82" s="78">
        <v>25</v>
      </c>
      <c r="L82" s="78">
        <v>1546</v>
      </c>
    </row>
    <row r="83" spans="2:12">
      <c r="B83" s="73">
        <f>IF(FacilitySchedule[[#This Row],[Active]]=TRUE,1,0)</f>
        <v>0</v>
      </c>
      <c r="C83" s="75" t="b">
        <v>0</v>
      </c>
      <c r="D83" s="74" t="s">
        <v>867</v>
      </c>
      <c r="E83" s="76"/>
      <c r="F83" s="76" t="s">
        <v>1132</v>
      </c>
      <c r="G83" s="77"/>
      <c r="H83" s="77"/>
      <c r="I83" s="73" t="s">
        <v>1135</v>
      </c>
      <c r="J83" s="73">
        <v>365</v>
      </c>
      <c r="K83" s="78">
        <v>25</v>
      </c>
      <c r="L83" s="78">
        <v>1547</v>
      </c>
    </row>
    <row r="84" spans="2:12">
      <c r="B84" s="73">
        <f>IF(FacilitySchedule[[#This Row],[Active]]=TRUE,1,0)</f>
        <v>0</v>
      </c>
      <c r="C84" s="75" t="b">
        <v>0</v>
      </c>
      <c r="D84" s="74" t="s">
        <v>870</v>
      </c>
      <c r="E84" s="76" t="s">
        <v>1137</v>
      </c>
      <c r="F84" s="76"/>
      <c r="G84" s="77"/>
      <c r="H84" s="77">
        <v>43100</v>
      </c>
      <c r="I84" s="73" t="s">
        <v>1136</v>
      </c>
      <c r="J84" s="73">
        <v>365</v>
      </c>
      <c r="K84" s="78">
        <v>25</v>
      </c>
      <c r="L84" s="78">
        <v>1548</v>
      </c>
    </row>
    <row r="85" spans="2:12">
      <c r="B85" s="73">
        <f>IF(FacilitySchedule[[#This Row],[Active]]=TRUE,1,0)</f>
        <v>0</v>
      </c>
      <c r="C85" s="75" t="b">
        <v>0</v>
      </c>
      <c r="D85" s="74" t="s">
        <v>870</v>
      </c>
      <c r="E85" s="76" t="s">
        <v>1139</v>
      </c>
      <c r="F85" s="76"/>
      <c r="G85" s="77">
        <v>43101</v>
      </c>
      <c r="H85" s="77">
        <v>43465</v>
      </c>
      <c r="I85" s="73" t="s">
        <v>1138</v>
      </c>
      <c r="J85" s="73">
        <v>365</v>
      </c>
      <c r="K85" s="78">
        <v>25</v>
      </c>
      <c r="L85" s="78">
        <v>1549</v>
      </c>
    </row>
    <row r="86" spans="2:12">
      <c r="B86" s="73">
        <f>IF(FacilitySchedule[[#This Row],[Active]]=TRUE,1,0)</f>
        <v>0</v>
      </c>
      <c r="C86" s="75" t="b">
        <v>0</v>
      </c>
      <c r="D86" s="74" t="s">
        <v>870</v>
      </c>
      <c r="E86" s="76" t="s">
        <v>1141</v>
      </c>
      <c r="F86" s="76"/>
      <c r="G86" s="77">
        <v>43466</v>
      </c>
      <c r="H86" s="77"/>
      <c r="I86" s="73" t="s">
        <v>1140</v>
      </c>
      <c r="J86" s="73">
        <v>365</v>
      </c>
      <c r="K86" s="78">
        <v>25</v>
      </c>
      <c r="L86" s="78">
        <v>1550</v>
      </c>
    </row>
    <row r="87" spans="2:12">
      <c r="B87" s="73">
        <f>IF(FacilitySchedule[[#This Row],[Active]]=TRUE,1,0)</f>
        <v>0</v>
      </c>
      <c r="C87" s="75" t="b">
        <v>0</v>
      </c>
      <c r="D87" s="74" t="s">
        <v>870</v>
      </c>
      <c r="E87" s="76" t="s">
        <v>1143</v>
      </c>
      <c r="F87" s="76"/>
      <c r="G87" s="77">
        <v>43831</v>
      </c>
      <c r="H87" s="77"/>
      <c r="I87" s="73" t="s">
        <v>1142</v>
      </c>
      <c r="J87" s="73">
        <v>365</v>
      </c>
      <c r="K87" s="78">
        <v>25</v>
      </c>
      <c r="L87" s="78">
        <v>1551</v>
      </c>
    </row>
    <row r="88" spans="2:12">
      <c r="B88" s="73">
        <f>IF(FacilitySchedule[[#This Row],[Active]]=TRUE,1,0)</f>
        <v>0</v>
      </c>
      <c r="C88" s="75" t="b">
        <v>0</v>
      </c>
      <c r="D88" s="74" t="s">
        <v>870</v>
      </c>
      <c r="E88" s="76" t="s">
        <v>1145</v>
      </c>
      <c r="F88" s="76"/>
      <c r="G88" s="77">
        <v>44197</v>
      </c>
      <c r="H88" s="77"/>
      <c r="I88" s="73" t="s">
        <v>1144</v>
      </c>
      <c r="J88" s="73">
        <v>365</v>
      </c>
      <c r="K88" s="78">
        <v>25</v>
      </c>
      <c r="L88" s="78">
        <v>1552</v>
      </c>
    </row>
    <row r="89" spans="2:12">
      <c r="B89" s="73">
        <f>IF(FacilitySchedule[[#This Row],[Active]]=TRUE,1,0)</f>
        <v>0</v>
      </c>
      <c r="C89" s="75" t="b">
        <v>0</v>
      </c>
      <c r="D89" s="74" t="s">
        <v>870</v>
      </c>
      <c r="E89" s="76" t="s">
        <v>1147</v>
      </c>
      <c r="F89" s="76"/>
      <c r="G89" s="77">
        <v>44562</v>
      </c>
      <c r="H89" s="77"/>
      <c r="I89" s="73" t="s">
        <v>1146</v>
      </c>
      <c r="J89" s="73">
        <v>365</v>
      </c>
      <c r="K89" s="78">
        <v>25</v>
      </c>
      <c r="L89" s="78">
        <v>1553</v>
      </c>
    </row>
    <row r="90" spans="2:12">
      <c r="B90" s="73">
        <f>IF(FacilitySchedule[[#This Row],[Active]]=TRUE,1,0)</f>
        <v>0</v>
      </c>
      <c r="C90" s="75" t="b">
        <v>0</v>
      </c>
      <c r="D90" s="74" t="s">
        <v>840</v>
      </c>
      <c r="E90" s="76" t="s">
        <v>1030</v>
      </c>
      <c r="F90" s="76"/>
      <c r="G90" s="77"/>
      <c r="H90" s="77"/>
      <c r="I90" s="73" t="s">
        <v>1148</v>
      </c>
      <c r="J90" s="73">
        <v>365</v>
      </c>
      <c r="K90" s="78">
        <v>25</v>
      </c>
      <c r="L90" s="78">
        <v>1554</v>
      </c>
    </row>
    <row r="91" spans="2:12">
      <c r="B91" s="73">
        <f>IF(FacilitySchedule[[#This Row],[Active]]=TRUE,1,0)</f>
        <v>0</v>
      </c>
      <c r="C91" s="75" t="b">
        <v>0</v>
      </c>
      <c r="D91" s="74" t="s">
        <v>861</v>
      </c>
      <c r="E91" s="76"/>
      <c r="F91" s="76" t="s">
        <v>1097</v>
      </c>
      <c r="G91" s="77"/>
      <c r="H91" s="77"/>
      <c r="I91" s="73" t="s">
        <v>1149</v>
      </c>
      <c r="J91" s="73">
        <v>365</v>
      </c>
      <c r="K91" s="78">
        <v>25</v>
      </c>
      <c r="L91" s="78">
        <v>1555</v>
      </c>
    </row>
    <row r="92" spans="2:12">
      <c r="B92" s="73">
        <f>IF(FacilitySchedule[[#This Row],[Active]]=TRUE,1,0)</f>
        <v>0</v>
      </c>
      <c r="C92" s="75" t="b">
        <v>0</v>
      </c>
      <c r="D92" s="74" t="s">
        <v>863</v>
      </c>
      <c r="E92" s="76" t="s">
        <v>1141</v>
      </c>
      <c r="F92" s="76"/>
      <c r="G92" s="77"/>
      <c r="H92" s="77"/>
      <c r="I92" s="73" t="s">
        <v>1150</v>
      </c>
      <c r="J92" s="73">
        <v>365</v>
      </c>
      <c r="K92" s="78">
        <v>25</v>
      </c>
      <c r="L92" s="78">
        <v>1556</v>
      </c>
    </row>
    <row r="93" spans="2:12">
      <c r="B93" s="73">
        <f>IF(FacilitySchedule[[#This Row],[Active]]=TRUE,1,0)</f>
        <v>0</v>
      </c>
      <c r="C93" s="75" t="b">
        <v>0</v>
      </c>
      <c r="D93" s="74" t="s">
        <v>873</v>
      </c>
      <c r="E93" s="76"/>
      <c r="F93" s="76" t="s">
        <v>1097</v>
      </c>
      <c r="G93" s="77"/>
      <c r="H93" s="77"/>
      <c r="I93" s="73" t="s">
        <v>1151</v>
      </c>
      <c r="J93" s="73">
        <v>365</v>
      </c>
      <c r="K93" s="78">
        <v>25</v>
      </c>
      <c r="L93" s="78">
        <v>1557</v>
      </c>
    </row>
    <row r="94" spans="2:12">
      <c r="B94" s="73">
        <f>IF(FacilitySchedule[[#This Row],[Active]]=TRUE,1,0)</f>
        <v>0</v>
      </c>
      <c r="C94" s="75" t="b">
        <v>0</v>
      </c>
      <c r="D94" s="74" t="s">
        <v>876</v>
      </c>
      <c r="E94" s="76"/>
      <c r="F94" s="76" t="s">
        <v>1030</v>
      </c>
      <c r="G94" s="77"/>
      <c r="H94" s="77"/>
      <c r="I94" s="73" t="s">
        <v>1152</v>
      </c>
      <c r="J94" s="73">
        <v>365</v>
      </c>
      <c r="K94" s="78">
        <v>25</v>
      </c>
      <c r="L94" s="78">
        <v>1558</v>
      </c>
    </row>
    <row r="95" spans="2:12">
      <c r="B95" s="73">
        <f>IF(FacilitySchedule[[#This Row],[Active]]=TRUE,1,0)</f>
        <v>0</v>
      </c>
      <c r="C95" s="75" t="b">
        <v>0</v>
      </c>
      <c r="D95" s="74" t="s">
        <v>878</v>
      </c>
      <c r="E95" s="76" t="s">
        <v>1154</v>
      </c>
      <c r="F95" s="76"/>
      <c r="G95" s="77"/>
      <c r="H95" s="77"/>
      <c r="I95" s="73" t="s">
        <v>1153</v>
      </c>
      <c r="J95" s="73">
        <v>365</v>
      </c>
      <c r="K95" s="78">
        <v>25</v>
      </c>
      <c r="L95" s="78">
        <v>1559</v>
      </c>
    </row>
    <row r="96" spans="2:12">
      <c r="B96" s="73">
        <f>IF(FacilitySchedule[[#This Row],[Active]]=TRUE,1,0)</f>
        <v>0</v>
      </c>
      <c r="C96" s="75" t="b">
        <v>0</v>
      </c>
      <c r="D96" s="74" t="s">
        <v>881</v>
      </c>
      <c r="E96" s="76" t="s">
        <v>1040</v>
      </c>
      <c r="F96" s="76"/>
      <c r="G96" s="77"/>
      <c r="H96" s="77"/>
      <c r="I96" s="73" t="s">
        <v>1155</v>
      </c>
      <c r="J96" s="73">
        <v>365</v>
      </c>
      <c r="K96" s="78">
        <v>25</v>
      </c>
      <c r="L96" s="78">
        <v>1560</v>
      </c>
    </row>
    <row r="97" spans="2:12">
      <c r="B97" s="73">
        <f>IF(FacilitySchedule[[#This Row],[Active]]=TRUE,1,0)</f>
        <v>0</v>
      </c>
      <c r="C97" s="75" t="b">
        <v>0</v>
      </c>
      <c r="D97" s="74" t="s">
        <v>884</v>
      </c>
      <c r="E97" s="76"/>
      <c r="F97" s="76" t="s">
        <v>1053</v>
      </c>
      <c r="G97" s="77"/>
      <c r="H97" s="77"/>
      <c r="I97" s="73" t="s">
        <v>1156</v>
      </c>
      <c r="J97" s="73">
        <v>365</v>
      </c>
      <c r="K97" s="78">
        <v>25</v>
      </c>
      <c r="L97" s="78">
        <v>1561</v>
      </c>
    </row>
    <row r="98" spans="2:12">
      <c r="B98" s="73">
        <f>IF(FacilitySchedule[[#This Row],[Active]]=TRUE,1,0)</f>
        <v>0</v>
      </c>
      <c r="C98" s="75" t="b">
        <v>0</v>
      </c>
      <c r="D98" s="74" t="s">
        <v>887</v>
      </c>
      <c r="E98" s="76" t="s">
        <v>1040</v>
      </c>
      <c r="F98" s="76"/>
      <c r="G98" s="77"/>
      <c r="H98" s="77"/>
      <c r="I98" s="73" t="s">
        <v>1157</v>
      </c>
      <c r="J98" s="73">
        <v>365</v>
      </c>
      <c r="K98" s="78">
        <v>25</v>
      </c>
      <c r="L98" s="78">
        <v>1562</v>
      </c>
    </row>
    <row r="99" spans="2:12">
      <c r="B99" s="73">
        <f>IF(FacilitySchedule[[#This Row],[Active]]=TRUE,1,0)</f>
        <v>0</v>
      </c>
      <c r="C99" s="75" t="b">
        <v>0</v>
      </c>
      <c r="D99" s="74" t="s">
        <v>890</v>
      </c>
      <c r="E99" s="76" t="s">
        <v>1030</v>
      </c>
      <c r="F99" s="76"/>
      <c r="G99" s="77"/>
      <c r="H99" s="77"/>
      <c r="I99" s="73" t="s">
        <v>1158</v>
      </c>
      <c r="J99" s="73">
        <v>365</v>
      </c>
      <c r="K99" s="78">
        <v>25</v>
      </c>
      <c r="L99" s="78">
        <v>1563</v>
      </c>
    </row>
    <row r="100" spans="2:12">
      <c r="B100" s="73">
        <f>IF(FacilitySchedule[[#This Row],[Active]]=TRUE,1,0)</f>
        <v>0</v>
      </c>
      <c r="C100" s="75" t="b">
        <v>0</v>
      </c>
      <c r="D100" s="74" t="s">
        <v>892</v>
      </c>
      <c r="E100" s="76" t="s">
        <v>1040</v>
      </c>
      <c r="F100" s="76"/>
      <c r="G100" s="77"/>
      <c r="H100" s="77"/>
      <c r="I100" s="73" t="s">
        <v>1159</v>
      </c>
      <c r="J100" s="73">
        <v>365</v>
      </c>
      <c r="K100" s="78">
        <v>25</v>
      </c>
      <c r="L100" s="78">
        <v>1564</v>
      </c>
    </row>
    <row r="101" spans="2:12">
      <c r="B101" s="73">
        <f>IF(FacilitySchedule[[#This Row],[Active]]=TRUE,1,0)</f>
        <v>0</v>
      </c>
      <c r="C101" s="75" t="b">
        <v>0</v>
      </c>
      <c r="D101" s="74" t="s">
        <v>894</v>
      </c>
      <c r="E101" s="76"/>
      <c r="F101" s="76" t="s">
        <v>1036</v>
      </c>
      <c r="G101" s="77"/>
      <c r="H101" s="77"/>
      <c r="I101" s="73" t="s">
        <v>1160</v>
      </c>
      <c r="J101" s="73">
        <v>365</v>
      </c>
      <c r="K101" s="78">
        <v>25</v>
      </c>
      <c r="L101" s="78">
        <v>1565</v>
      </c>
    </row>
    <row r="102" spans="2:12">
      <c r="B102" s="73">
        <f>IF(FacilitySchedule[[#This Row],[Active]]=TRUE,1,0)</f>
        <v>0</v>
      </c>
      <c r="C102" s="75" t="b">
        <v>0</v>
      </c>
      <c r="D102" s="74" t="s">
        <v>897</v>
      </c>
      <c r="E102" s="76"/>
      <c r="F102" s="76" t="s">
        <v>1040</v>
      </c>
      <c r="G102" s="77"/>
      <c r="H102" s="77"/>
      <c r="I102" s="73" t="s">
        <v>1161</v>
      </c>
      <c r="J102" s="73">
        <v>365</v>
      </c>
      <c r="K102" s="78">
        <v>25</v>
      </c>
      <c r="L102" s="78">
        <v>1566</v>
      </c>
    </row>
    <row r="103" spans="2:12">
      <c r="B103" s="73">
        <f>IF(FacilitySchedule[[#This Row],[Active]]=TRUE,1,0)</f>
        <v>0</v>
      </c>
      <c r="C103" s="75" t="b">
        <v>0</v>
      </c>
      <c r="D103" s="74" t="s">
        <v>897</v>
      </c>
      <c r="E103" s="76"/>
      <c r="F103" s="76" t="s">
        <v>1040</v>
      </c>
      <c r="G103" s="77">
        <v>43344</v>
      </c>
      <c r="H103" s="77"/>
      <c r="I103" s="73" t="s">
        <v>1162</v>
      </c>
      <c r="J103" s="73">
        <v>365</v>
      </c>
      <c r="K103" s="78">
        <v>25</v>
      </c>
      <c r="L103" s="78">
        <v>1567</v>
      </c>
    </row>
    <row r="104" spans="2:12">
      <c r="B104" s="73">
        <f>IF(FacilitySchedule[[#This Row],[Active]]=TRUE,1,0)</f>
        <v>0</v>
      </c>
      <c r="C104" s="75" t="b">
        <v>0</v>
      </c>
      <c r="D104" s="74" t="s">
        <v>900</v>
      </c>
      <c r="E104" s="76" t="s">
        <v>1030</v>
      </c>
      <c r="F104" s="76"/>
      <c r="G104" s="77"/>
      <c r="H104" s="77"/>
      <c r="I104" s="73" t="s">
        <v>1162</v>
      </c>
      <c r="J104" s="73">
        <v>365</v>
      </c>
      <c r="K104" s="78">
        <v>25</v>
      </c>
      <c r="L104" s="78">
        <v>1568</v>
      </c>
    </row>
    <row r="105" spans="2:12">
      <c r="B105" s="73">
        <f>IF(FacilitySchedule[[#This Row],[Active]]=TRUE,1,0)</f>
        <v>0</v>
      </c>
      <c r="C105" s="75" t="b">
        <v>0</v>
      </c>
      <c r="D105" s="74" t="s">
        <v>902</v>
      </c>
      <c r="E105" s="76"/>
      <c r="F105" s="76" t="s">
        <v>1164</v>
      </c>
      <c r="G105" s="77"/>
      <c r="H105" s="77"/>
      <c r="I105" s="73" t="s">
        <v>1163</v>
      </c>
      <c r="J105" s="73">
        <v>365</v>
      </c>
      <c r="K105" s="78">
        <v>25</v>
      </c>
      <c r="L105" s="78">
        <v>1569</v>
      </c>
    </row>
    <row r="106" spans="2:12">
      <c r="B106" s="73">
        <f>IF(FacilitySchedule[[#This Row],[Active]]=TRUE,1,0)</f>
        <v>0</v>
      </c>
      <c r="C106" s="75" t="b">
        <v>0</v>
      </c>
      <c r="D106" s="74" t="s">
        <v>904</v>
      </c>
      <c r="E106" s="76" t="s">
        <v>1030</v>
      </c>
      <c r="F106" s="76"/>
      <c r="G106" s="77"/>
      <c r="H106" s="77"/>
      <c r="I106" s="73" t="s">
        <v>1165</v>
      </c>
      <c r="J106" s="73">
        <v>365</v>
      </c>
      <c r="K106" s="78">
        <v>25</v>
      </c>
      <c r="L106" s="78">
        <v>1570</v>
      </c>
    </row>
    <row r="107" spans="2:12">
      <c r="B107" s="73">
        <f>IF(FacilitySchedule[[#This Row],[Active]]=TRUE,1,0)</f>
        <v>0</v>
      </c>
      <c r="C107" s="75" t="b">
        <v>0</v>
      </c>
      <c r="D107" s="74" t="s">
        <v>906</v>
      </c>
      <c r="E107" s="76" t="s">
        <v>1030</v>
      </c>
      <c r="F107" s="76"/>
      <c r="G107" s="77"/>
      <c r="H107" s="77"/>
      <c r="I107" s="73" t="s">
        <v>1166</v>
      </c>
      <c r="J107" s="73">
        <v>365</v>
      </c>
      <c r="K107" s="78">
        <v>25</v>
      </c>
      <c r="L107" s="78">
        <v>1571</v>
      </c>
    </row>
    <row r="108" spans="2:12">
      <c r="B108" s="73">
        <f>IF(FacilitySchedule[[#This Row],[Active]]=TRUE,1,0)</f>
        <v>0</v>
      </c>
      <c r="C108" s="75" t="b">
        <v>0</v>
      </c>
      <c r="D108" s="74" t="s">
        <v>908</v>
      </c>
      <c r="E108" s="76"/>
      <c r="F108" s="76" t="s">
        <v>1168</v>
      </c>
      <c r="G108" s="77"/>
      <c r="H108" s="77"/>
      <c r="I108" s="73" t="s">
        <v>1167</v>
      </c>
      <c r="J108" s="73">
        <v>365</v>
      </c>
      <c r="K108" s="78">
        <v>25</v>
      </c>
      <c r="L108" s="78">
        <v>1572</v>
      </c>
    </row>
    <row r="109" spans="2:12">
      <c r="B109" s="73">
        <f>IF(FacilitySchedule[[#This Row],[Active]]=TRUE,1,0)</f>
        <v>0</v>
      </c>
      <c r="C109" s="75" t="b">
        <v>0</v>
      </c>
      <c r="D109" s="74" t="s">
        <v>911</v>
      </c>
      <c r="E109" s="76" t="s">
        <v>1170</v>
      </c>
      <c r="F109" s="76"/>
      <c r="G109" s="77"/>
      <c r="H109" s="77"/>
      <c r="I109" s="73" t="s">
        <v>1169</v>
      </c>
      <c r="J109" s="73">
        <v>365</v>
      </c>
      <c r="K109" s="78">
        <v>25</v>
      </c>
      <c r="L109" s="78">
        <v>1573</v>
      </c>
    </row>
    <row r="110" spans="2:12">
      <c r="B110" s="73">
        <f>IF(FacilitySchedule[[#This Row],[Active]]=TRUE,1,0)</f>
        <v>0</v>
      </c>
      <c r="C110" s="75" t="b">
        <v>0</v>
      </c>
      <c r="D110" s="74" t="s">
        <v>913</v>
      </c>
      <c r="E110" s="76" t="s">
        <v>1172</v>
      </c>
      <c r="F110" s="76"/>
      <c r="G110" s="77"/>
      <c r="H110" s="77"/>
      <c r="I110" s="73" t="s">
        <v>1171</v>
      </c>
      <c r="J110" s="73">
        <v>365</v>
      </c>
      <c r="K110" s="78">
        <v>25</v>
      </c>
      <c r="L110" s="78">
        <v>1574</v>
      </c>
    </row>
    <row r="111" spans="2:12">
      <c r="B111" s="73">
        <f>IF(FacilitySchedule[[#This Row],[Active]]=TRUE,1,0)</f>
        <v>0</v>
      </c>
      <c r="C111" s="75" t="b">
        <v>0</v>
      </c>
      <c r="D111" s="74" t="s">
        <v>915</v>
      </c>
      <c r="E111" s="76" t="s">
        <v>1030</v>
      </c>
      <c r="F111" s="76"/>
      <c r="G111" s="77"/>
      <c r="H111" s="77"/>
      <c r="I111" s="73" t="s">
        <v>1173</v>
      </c>
      <c r="J111" s="73">
        <v>365</v>
      </c>
      <c r="K111" s="78">
        <v>25</v>
      </c>
      <c r="L111" s="78">
        <v>1575</v>
      </c>
    </row>
    <row r="112" spans="2:12">
      <c r="B112" s="73">
        <f>IF(FacilitySchedule[[#This Row],[Active]]=TRUE,1,0)</f>
        <v>0</v>
      </c>
      <c r="C112" s="75" t="b">
        <v>0</v>
      </c>
      <c r="D112" s="74" t="s">
        <v>917</v>
      </c>
      <c r="E112" s="76" t="s">
        <v>1030</v>
      </c>
      <c r="F112" s="76"/>
      <c r="G112" s="77"/>
      <c r="H112" s="77"/>
      <c r="I112" s="73" t="s">
        <v>1174</v>
      </c>
      <c r="J112" s="73">
        <v>365</v>
      </c>
      <c r="K112" s="78">
        <v>25</v>
      </c>
      <c r="L112" s="78">
        <v>1576</v>
      </c>
    </row>
    <row r="113" spans="2:12">
      <c r="B113" s="73">
        <f>IF(FacilitySchedule[[#This Row],[Active]]=TRUE,1,0)</f>
        <v>0</v>
      </c>
      <c r="C113" s="75" t="b">
        <v>0</v>
      </c>
      <c r="D113" s="74" t="s">
        <v>919</v>
      </c>
      <c r="E113" s="76" t="s">
        <v>1030</v>
      </c>
      <c r="F113" s="76"/>
      <c r="G113" s="77"/>
      <c r="H113" s="77"/>
      <c r="I113" s="73" t="s">
        <v>1175</v>
      </c>
      <c r="J113" s="73">
        <v>365</v>
      </c>
      <c r="K113" s="78">
        <v>25</v>
      </c>
      <c r="L113" s="78">
        <v>1577</v>
      </c>
    </row>
    <row r="114" spans="2:12">
      <c r="B114" s="73">
        <f>IF(FacilitySchedule[[#This Row],[Active]]=TRUE,1,0)</f>
        <v>0</v>
      </c>
      <c r="C114" s="75" t="b">
        <v>0</v>
      </c>
      <c r="D114" s="74" t="s">
        <v>921</v>
      </c>
      <c r="E114" s="76" t="s">
        <v>1030</v>
      </c>
      <c r="F114" s="76"/>
      <c r="G114" s="77"/>
      <c r="H114" s="77"/>
      <c r="I114" s="73" t="s">
        <v>1176</v>
      </c>
      <c r="J114" s="73">
        <v>365</v>
      </c>
      <c r="K114" s="78">
        <v>25</v>
      </c>
      <c r="L114" s="78">
        <v>1578</v>
      </c>
    </row>
    <row r="115" spans="2:12">
      <c r="B115" s="73">
        <f>IF(FacilitySchedule[[#This Row],[Active]]=TRUE,1,0)</f>
        <v>0</v>
      </c>
      <c r="C115" s="75" t="b">
        <v>0</v>
      </c>
      <c r="D115" s="74" t="s">
        <v>923</v>
      </c>
      <c r="E115" s="76" t="s">
        <v>1178</v>
      </c>
      <c r="F115" s="76"/>
      <c r="G115" s="77"/>
      <c r="H115" s="77"/>
      <c r="I115" s="73" t="s">
        <v>1177</v>
      </c>
      <c r="J115" s="73">
        <v>365</v>
      </c>
      <c r="K115" s="78">
        <v>25</v>
      </c>
      <c r="L115" s="78">
        <v>1579</v>
      </c>
    </row>
    <row r="116" spans="2:12">
      <c r="B116" s="73">
        <f>IF(FacilitySchedule[[#This Row],[Active]]=TRUE,1,0)</f>
        <v>0</v>
      </c>
      <c r="C116" s="75" t="b">
        <v>0</v>
      </c>
      <c r="D116" s="74" t="s">
        <v>925</v>
      </c>
      <c r="E116" s="76" t="s">
        <v>1030</v>
      </c>
      <c r="F116" s="76"/>
      <c r="G116" s="77"/>
      <c r="H116" s="77"/>
      <c r="I116" s="73" t="s">
        <v>1179</v>
      </c>
      <c r="J116" s="73">
        <v>365</v>
      </c>
      <c r="K116" s="78">
        <v>25</v>
      </c>
      <c r="L116" s="78">
        <v>1580</v>
      </c>
    </row>
    <row r="117" spans="2:12">
      <c r="B117" s="73">
        <f>IF(FacilitySchedule[[#This Row],[Active]]=TRUE,1,0)</f>
        <v>0</v>
      </c>
      <c r="C117" s="75" t="b">
        <v>0</v>
      </c>
      <c r="D117" s="74" t="s">
        <v>927</v>
      </c>
      <c r="E117" s="76" t="s">
        <v>1181</v>
      </c>
      <c r="F117" s="76"/>
      <c r="G117" s="77"/>
      <c r="H117" s="77"/>
      <c r="I117" s="73" t="s">
        <v>1180</v>
      </c>
      <c r="J117" s="73">
        <v>365</v>
      </c>
      <c r="K117" s="78">
        <v>25</v>
      </c>
      <c r="L117" s="78">
        <v>1581</v>
      </c>
    </row>
    <row r="118" spans="2:12">
      <c r="B118" s="73">
        <f>IF(FacilitySchedule[[#This Row],[Active]]=TRUE,1,0)</f>
        <v>0</v>
      </c>
      <c r="C118" s="75" t="b">
        <v>0</v>
      </c>
      <c r="D118" s="74" t="s">
        <v>929</v>
      </c>
      <c r="E118" s="76" t="s">
        <v>1183</v>
      </c>
      <c r="F118" s="76"/>
      <c r="G118" s="77"/>
      <c r="H118" s="77"/>
      <c r="I118" s="73" t="s">
        <v>1182</v>
      </c>
      <c r="J118" s="73">
        <v>365</v>
      </c>
      <c r="K118" s="78">
        <v>25</v>
      </c>
      <c r="L118" s="78">
        <v>1582</v>
      </c>
    </row>
    <row r="119" spans="2:12">
      <c r="B119" s="73">
        <f>IF(FacilitySchedule[[#This Row],[Active]]=TRUE,1,0)</f>
        <v>0</v>
      </c>
      <c r="C119" s="75" t="b">
        <v>0</v>
      </c>
      <c r="D119" s="74" t="s">
        <v>930</v>
      </c>
      <c r="E119" s="76" t="s">
        <v>1181</v>
      </c>
      <c r="F119" s="76"/>
      <c r="G119" s="77"/>
      <c r="H119" s="77"/>
      <c r="I119" s="73" t="s">
        <v>1184</v>
      </c>
      <c r="J119" s="73">
        <v>365</v>
      </c>
      <c r="K119" s="78">
        <v>25</v>
      </c>
      <c r="L119" s="78">
        <v>1583</v>
      </c>
    </row>
    <row r="120" spans="2:12">
      <c r="B120" s="73">
        <f>IF(FacilitySchedule[[#This Row],[Active]]=TRUE,1,0)</f>
        <v>0</v>
      </c>
      <c r="C120" s="75" t="b">
        <v>0</v>
      </c>
      <c r="D120" s="74" t="s">
        <v>932</v>
      </c>
      <c r="E120" s="76" t="s">
        <v>1186</v>
      </c>
      <c r="F120" s="76"/>
      <c r="G120" s="77"/>
      <c r="H120" s="77"/>
      <c r="I120" s="73" t="s">
        <v>1185</v>
      </c>
      <c r="J120" s="73">
        <v>365</v>
      </c>
      <c r="K120" s="78">
        <v>25</v>
      </c>
      <c r="L120" s="78">
        <v>1584</v>
      </c>
    </row>
    <row r="121" spans="2:12">
      <c r="B121" s="73">
        <f>IF(FacilitySchedule[[#This Row],[Active]]=TRUE,1,0)</f>
        <v>0</v>
      </c>
      <c r="C121" s="75" t="b">
        <v>0</v>
      </c>
      <c r="D121" s="74" t="s">
        <v>934</v>
      </c>
      <c r="E121" s="76" t="s">
        <v>1188</v>
      </c>
      <c r="F121" s="76"/>
      <c r="G121" s="77"/>
      <c r="H121" s="77"/>
      <c r="I121" s="73" t="s">
        <v>1187</v>
      </c>
      <c r="J121" s="73">
        <v>365</v>
      </c>
      <c r="K121" s="78">
        <v>25</v>
      </c>
      <c r="L121" s="78">
        <v>1585</v>
      </c>
    </row>
    <row r="122" spans="2:12">
      <c r="B122" s="73">
        <f>IF(FacilitySchedule[[#This Row],[Active]]=TRUE,1,0)</f>
        <v>0</v>
      </c>
      <c r="C122" s="75" t="b">
        <v>0</v>
      </c>
      <c r="D122" s="74" t="s">
        <v>936</v>
      </c>
      <c r="E122" s="76" t="s">
        <v>1170</v>
      </c>
      <c r="F122" s="76"/>
      <c r="G122" s="77"/>
      <c r="H122" s="77"/>
      <c r="I122" s="73" t="s">
        <v>1189</v>
      </c>
      <c r="J122" s="73">
        <v>365</v>
      </c>
      <c r="K122" s="78">
        <v>25</v>
      </c>
      <c r="L122" s="78">
        <v>1586</v>
      </c>
    </row>
    <row r="123" spans="2:12">
      <c r="B123" s="73">
        <f>IF(FacilitySchedule[[#This Row],[Active]]=TRUE,1,0)</f>
        <v>0</v>
      </c>
      <c r="C123" s="75" t="b">
        <v>0</v>
      </c>
      <c r="D123" s="74" t="s">
        <v>938</v>
      </c>
      <c r="E123" s="76" t="s">
        <v>1191</v>
      </c>
      <c r="F123" s="76"/>
      <c r="G123" s="77"/>
      <c r="H123" s="77"/>
      <c r="I123" s="73" t="s">
        <v>1190</v>
      </c>
      <c r="J123" s="73">
        <v>365</v>
      </c>
      <c r="K123" s="78">
        <v>25</v>
      </c>
      <c r="L123" s="78">
        <v>1587</v>
      </c>
    </row>
    <row r="124" spans="2:12">
      <c r="B124" s="73">
        <f>IF(FacilitySchedule[[#This Row],[Active]]=TRUE,1,0)</f>
        <v>0</v>
      </c>
      <c r="C124" s="75" t="b">
        <v>0</v>
      </c>
      <c r="D124" s="74" t="s">
        <v>940</v>
      </c>
      <c r="E124" s="76"/>
      <c r="F124" s="76" t="s">
        <v>1193</v>
      </c>
      <c r="G124" s="77"/>
      <c r="H124" s="77"/>
      <c r="I124" s="73" t="s">
        <v>1192</v>
      </c>
      <c r="J124" s="73">
        <v>365</v>
      </c>
      <c r="K124" s="78">
        <v>25</v>
      </c>
      <c r="L124" s="78">
        <v>1588</v>
      </c>
    </row>
    <row r="125" spans="2:12">
      <c r="B125" s="73">
        <f>IF(FacilitySchedule[[#This Row],[Active]]=TRUE,1,0)</f>
        <v>0</v>
      </c>
      <c r="C125" s="75" t="b">
        <v>0</v>
      </c>
      <c r="D125" s="74" t="s">
        <v>942</v>
      </c>
      <c r="E125" s="76" t="s">
        <v>1191</v>
      </c>
      <c r="F125" s="76"/>
      <c r="G125" s="77"/>
      <c r="H125" s="77"/>
      <c r="I125" s="73" t="s">
        <v>1194</v>
      </c>
      <c r="J125" s="73">
        <v>365</v>
      </c>
      <c r="K125" s="78">
        <v>25</v>
      </c>
      <c r="L125" s="78">
        <v>1589</v>
      </c>
    </row>
    <row r="126" spans="2:12">
      <c r="B126" s="73">
        <f>IF(FacilitySchedule[[#This Row],[Active]]=TRUE,1,0)</f>
        <v>0</v>
      </c>
      <c r="C126" s="75" t="b">
        <v>0</v>
      </c>
      <c r="D126" s="74" t="s">
        <v>944</v>
      </c>
      <c r="E126" s="76" t="s">
        <v>1196</v>
      </c>
      <c r="F126" s="76"/>
      <c r="G126" s="77"/>
      <c r="H126" s="77"/>
      <c r="I126" s="73" t="s">
        <v>1195</v>
      </c>
      <c r="J126" s="73">
        <v>365</v>
      </c>
      <c r="K126" s="78">
        <v>25</v>
      </c>
      <c r="L126" s="78">
        <v>1590</v>
      </c>
    </row>
    <row r="127" spans="2:12">
      <c r="B127" s="73">
        <f>IF(FacilitySchedule[[#This Row],[Active]]=TRUE,1,0)</f>
        <v>0</v>
      </c>
      <c r="C127" s="75" t="b">
        <v>0</v>
      </c>
      <c r="D127" s="74" t="s">
        <v>946</v>
      </c>
      <c r="E127" s="76" t="s">
        <v>1198</v>
      </c>
      <c r="F127" s="76"/>
      <c r="G127" s="77"/>
      <c r="H127" s="77"/>
      <c r="I127" s="73" t="s">
        <v>1197</v>
      </c>
      <c r="J127" s="73">
        <v>365</v>
      </c>
      <c r="K127" s="78">
        <v>25</v>
      </c>
      <c r="L127" s="78">
        <v>1591</v>
      </c>
    </row>
    <row r="128" spans="2:12">
      <c r="B128" s="73">
        <f>IF(FacilitySchedule[[#This Row],[Active]]=TRUE,1,0)</f>
        <v>0</v>
      </c>
      <c r="C128" s="75" t="b">
        <v>0</v>
      </c>
      <c r="D128" s="74" t="s">
        <v>948</v>
      </c>
      <c r="E128" s="76" t="s">
        <v>1200</v>
      </c>
      <c r="F128" s="76"/>
      <c r="G128" s="77"/>
      <c r="H128" s="77"/>
      <c r="I128" s="73" t="s">
        <v>1199</v>
      </c>
      <c r="J128" s="73">
        <v>365</v>
      </c>
      <c r="K128" s="78">
        <v>25</v>
      </c>
      <c r="L128" s="78">
        <v>1592</v>
      </c>
    </row>
    <row r="129" spans="2:12">
      <c r="B129" s="73">
        <f>IF(FacilitySchedule[[#This Row],[Active]]=TRUE,1,0)</f>
        <v>0</v>
      </c>
      <c r="C129" s="75" t="b">
        <v>0</v>
      </c>
      <c r="D129" s="74" t="s">
        <v>950</v>
      </c>
      <c r="E129" s="76"/>
      <c r="F129" s="76" t="s">
        <v>1202</v>
      </c>
      <c r="G129" s="77"/>
      <c r="H129" s="77"/>
      <c r="I129" s="73" t="s">
        <v>1201</v>
      </c>
      <c r="J129" s="73">
        <v>365</v>
      </c>
      <c r="K129" s="78">
        <v>25</v>
      </c>
      <c r="L129" s="78">
        <v>1593</v>
      </c>
    </row>
    <row r="130" spans="2:12">
      <c r="B130" s="73">
        <f>IF(FacilitySchedule[[#This Row],[Active]]=TRUE,1,0)</f>
        <v>1</v>
      </c>
      <c r="C130" s="75" t="b">
        <v>1</v>
      </c>
      <c r="D130" s="74" t="s">
        <v>982</v>
      </c>
      <c r="E130" s="76" t="s">
        <v>1203</v>
      </c>
      <c r="F130" s="76"/>
      <c r="G130" s="77">
        <v>42736</v>
      </c>
      <c r="H130" s="77">
        <v>43100</v>
      </c>
      <c r="I130" s="73"/>
      <c r="J130" s="73">
        <v>365</v>
      </c>
      <c r="K130" s="78">
        <v>25</v>
      </c>
      <c r="L130" s="78">
        <v>1611</v>
      </c>
    </row>
    <row r="131" spans="2:12">
      <c r="B131" s="73">
        <f>IF(FacilitySchedule[[#This Row],[Active]]=TRUE,1,0)</f>
        <v>1</v>
      </c>
      <c r="C131" s="75" t="b">
        <v>1</v>
      </c>
      <c r="D131" s="74" t="s">
        <v>984</v>
      </c>
      <c r="E131" s="76" t="s">
        <v>1204</v>
      </c>
      <c r="F131" s="76"/>
      <c r="G131" s="77">
        <v>42736</v>
      </c>
      <c r="H131" s="77">
        <v>43100</v>
      </c>
      <c r="I131" s="73"/>
      <c r="J131" s="73">
        <v>365</v>
      </c>
      <c r="K131" s="78">
        <v>25</v>
      </c>
      <c r="L131" s="78">
        <v>1612</v>
      </c>
    </row>
    <row r="132" spans="2:12">
      <c r="B132" s="73">
        <f>IF(FacilitySchedule[[#This Row],[Active]]=TRUE,1,0)</f>
        <v>1</v>
      </c>
      <c r="C132" s="75" t="b">
        <v>1</v>
      </c>
      <c r="D132" s="74" t="s">
        <v>985</v>
      </c>
      <c r="E132" s="76" t="s">
        <v>1203</v>
      </c>
      <c r="F132" s="76"/>
      <c r="G132" s="77">
        <v>42736</v>
      </c>
      <c r="H132" s="77">
        <v>43100</v>
      </c>
      <c r="I132" s="73"/>
      <c r="J132" s="73">
        <v>365</v>
      </c>
      <c r="K132" s="78">
        <v>25</v>
      </c>
      <c r="L132" s="78">
        <v>1613</v>
      </c>
    </row>
    <row r="133" spans="2:12">
      <c r="B133" s="73">
        <f>IF(FacilitySchedule[[#This Row],[Active]]=TRUE,1,0)</f>
        <v>1</v>
      </c>
      <c r="C133" s="75" t="b">
        <v>1</v>
      </c>
      <c r="D133" s="74" t="s">
        <v>987</v>
      </c>
      <c r="E133" s="76" t="s">
        <v>1203</v>
      </c>
      <c r="F133" s="76"/>
      <c r="G133" s="77">
        <v>42736</v>
      </c>
      <c r="H133" s="77">
        <v>43100</v>
      </c>
      <c r="I133" s="73"/>
      <c r="J133" s="73">
        <v>365</v>
      </c>
      <c r="K133" s="78">
        <v>25</v>
      </c>
      <c r="L133" s="78">
        <v>1614</v>
      </c>
    </row>
    <row r="134" spans="2:12">
      <c r="B134" s="73">
        <f>IF(FacilitySchedule[[#This Row],[Active]]=TRUE,1,0)</f>
        <v>1</v>
      </c>
      <c r="C134" s="75" t="b">
        <v>1</v>
      </c>
      <c r="D134" s="74" t="s">
        <v>989</v>
      </c>
      <c r="E134" s="76" t="s">
        <v>1203</v>
      </c>
      <c r="F134" s="76"/>
      <c r="G134" s="77">
        <v>42736</v>
      </c>
      <c r="H134" s="77">
        <v>43100</v>
      </c>
      <c r="I134" s="73"/>
      <c r="J134" s="73">
        <v>365</v>
      </c>
      <c r="K134" s="78">
        <v>25</v>
      </c>
      <c r="L134" s="78">
        <v>1615</v>
      </c>
    </row>
    <row r="135" spans="2:12">
      <c r="B135" s="73">
        <f>IF(FacilitySchedule[[#This Row],[Active]]=TRUE,1,0)</f>
        <v>1</v>
      </c>
      <c r="C135" s="75" t="b">
        <v>1</v>
      </c>
      <c r="D135" s="74" t="s">
        <v>991</v>
      </c>
      <c r="E135" s="76" t="s">
        <v>1205</v>
      </c>
      <c r="F135" s="76"/>
      <c r="G135" s="77">
        <v>42736</v>
      </c>
      <c r="H135" s="77">
        <v>43100</v>
      </c>
      <c r="I135" s="73"/>
      <c r="J135" s="73">
        <v>365</v>
      </c>
      <c r="K135" s="78">
        <v>25</v>
      </c>
      <c r="L135" s="78">
        <v>1616</v>
      </c>
    </row>
    <row r="136" spans="2:12">
      <c r="B136" s="73">
        <f>IF(FacilitySchedule[[#This Row],[Active]]=TRUE,1,0)</f>
        <v>1</v>
      </c>
      <c r="C136" s="75" t="b">
        <v>1</v>
      </c>
      <c r="D136" s="74" t="s">
        <v>993</v>
      </c>
      <c r="E136" s="76" t="s">
        <v>1206</v>
      </c>
      <c r="F136" s="76"/>
      <c r="G136" s="77">
        <v>44562</v>
      </c>
      <c r="H136" s="77">
        <v>44926</v>
      </c>
      <c r="I136" s="73"/>
      <c r="J136" s="73">
        <v>365</v>
      </c>
      <c r="K136" s="78">
        <v>25</v>
      </c>
      <c r="L136" s="78">
        <v>1617</v>
      </c>
    </row>
    <row r="137" spans="2:12">
      <c r="B137" s="73">
        <f>IF(FacilitySchedule[[#This Row],[Active]]=TRUE,1,0)</f>
        <v>1</v>
      </c>
      <c r="C137" s="75" t="b">
        <v>1</v>
      </c>
      <c r="D137" s="74" t="s">
        <v>994</v>
      </c>
      <c r="E137" s="76" t="s">
        <v>1203</v>
      </c>
      <c r="F137" s="76"/>
      <c r="G137" s="77">
        <v>42736</v>
      </c>
      <c r="H137" s="77">
        <v>43100</v>
      </c>
      <c r="I137" s="73"/>
      <c r="J137" s="73">
        <v>365</v>
      </c>
      <c r="K137" s="78">
        <v>25</v>
      </c>
      <c r="L137" s="78">
        <v>1618</v>
      </c>
    </row>
    <row r="138" spans="2:12">
      <c r="B138" s="73">
        <f>IF(FacilitySchedule[[#This Row],[Active]]=TRUE,1,0)</f>
        <v>1</v>
      </c>
      <c r="C138" s="75" t="b">
        <v>1</v>
      </c>
      <c r="D138" s="74" t="s">
        <v>995</v>
      </c>
      <c r="E138" s="76" t="s">
        <v>1207</v>
      </c>
      <c r="F138" s="76"/>
      <c r="G138" s="77">
        <v>42736</v>
      </c>
      <c r="H138" s="77">
        <v>43100</v>
      </c>
      <c r="I138" s="73"/>
      <c r="J138" s="73">
        <v>365</v>
      </c>
      <c r="K138" s="78">
        <v>25</v>
      </c>
      <c r="L138" s="78">
        <v>1619</v>
      </c>
    </row>
    <row r="139" spans="2:12">
      <c r="B139" s="73">
        <f>IF(FacilitySchedule[[#This Row],[Active]]=TRUE,1,0)</f>
        <v>1</v>
      </c>
      <c r="C139" s="75" t="b">
        <v>1</v>
      </c>
      <c r="D139" s="74" t="s">
        <v>996</v>
      </c>
      <c r="E139" s="76" t="s">
        <v>1203</v>
      </c>
      <c r="F139" s="76"/>
      <c r="G139" s="77">
        <v>42736</v>
      </c>
      <c r="H139" s="77">
        <v>43100</v>
      </c>
      <c r="I139" s="73"/>
      <c r="J139" s="73">
        <v>365</v>
      </c>
      <c r="K139" s="78">
        <v>25</v>
      </c>
      <c r="L139" s="78">
        <v>1620</v>
      </c>
    </row>
    <row r="140" spans="2:12">
      <c r="B140" s="73">
        <f>IF(FacilitySchedule[[#This Row],[Active]]=TRUE,1,0)</f>
        <v>1</v>
      </c>
      <c r="C140" s="75" t="b">
        <v>1</v>
      </c>
      <c r="D140" s="74" t="s">
        <v>998</v>
      </c>
      <c r="E140" s="76" t="s">
        <v>1208</v>
      </c>
      <c r="F140" s="76"/>
      <c r="G140" s="77">
        <v>42736</v>
      </c>
      <c r="H140" s="77">
        <v>43100</v>
      </c>
      <c r="I140" s="73"/>
      <c r="J140" s="73">
        <v>365</v>
      </c>
      <c r="K140" s="78">
        <v>25</v>
      </c>
      <c r="L140" s="78">
        <v>1621</v>
      </c>
    </row>
    <row r="141" spans="2:12">
      <c r="B141" s="73">
        <f>IF(FacilitySchedule[[#This Row],[Active]]=TRUE,1,0)</f>
        <v>1</v>
      </c>
      <c r="C141" s="75" t="b">
        <v>1</v>
      </c>
      <c r="D141" s="74" t="s">
        <v>999</v>
      </c>
      <c r="E141" s="76" t="s">
        <v>1208</v>
      </c>
      <c r="F141" s="76"/>
      <c r="G141" s="77">
        <v>42736</v>
      </c>
      <c r="H141" s="77">
        <v>43100</v>
      </c>
      <c r="I141" s="73"/>
      <c r="J141" s="73">
        <v>365</v>
      </c>
      <c r="K141" s="78">
        <v>25</v>
      </c>
      <c r="L141" s="78">
        <v>1622</v>
      </c>
    </row>
    <row r="142" spans="2:12">
      <c r="B142" s="73">
        <f>IF(FacilitySchedule[[#This Row],[Active]]=TRUE,1,0)</f>
        <v>1</v>
      </c>
      <c r="C142" s="75" t="b">
        <v>1</v>
      </c>
      <c r="D142" s="74" t="s">
        <v>971</v>
      </c>
      <c r="E142" s="76" t="s">
        <v>1209</v>
      </c>
      <c r="F142" s="76"/>
      <c r="G142" s="77">
        <v>43101</v>
      </c>
      <c r="H142" s="77">
        <v>43465</v>
      </c>
      <c r="I142" s="73"/>
      <c r="J142" s="73">
        <v>365</v>
      </c>
      <c r="K142" s="78">
        <v>25</v>
      </c>
      <c r="L142" s="78">
        <v>1668</v>
      </c>
    </row>
    <row r="143" spans="2:12">
      <c r="B143" s="73">
        <f>IF(FacilitySchedule[[#This Row],[Active]]=TRUE,1,0)</f>
        <v>1</v>
      </c>
      <c r="C143" s="75" t="b">
        <v>1</v>
      </c>
      <c r="D143" s="74" t="s">
        <v>971</v>
      </c>
      <c r="E143" s="76" t="s">
        <v>1209</v>
      </c>
      <c r="F143" s="76"/>
      <c r="G143" s="77">
        <v>43466</v>
      </c>
      <c r="H143" s="77">
        <v>43830</v>
      </c>
      <c r="I143" s="73"/>
      <c r="J143" s="73">
        <v>365</v>
      </c>
      <c r="K143" s="78">
        <v>25</v>
      </c>
      <c r="L143" s="78">
        <v>1669</v>
      </c>
    </row>
    <row r="144" spans="2:12">
      <c r="B144" s="73">
        <f>IF(FacilitySchedule[[#This Row],[Active]]=TRUE,1,0)</f>
        <v>1</v>
      </c>
      <c r="C144" s="75" t="b">
        <v>1</v>
      </c>
      <c r="D144" s="74" t="s">
        <v>971</v>
      </c>
      <c r="E144" s="76" t="s">
        <v>1209</v>
      </c>
      <c r="F144" s="76"/>
      <c r="G144" s="77">
        <v>43831</v>
      </c>
      <c r="H144" s="77">
        <v>44196</v>
      </c>
      <c r="I144" s="73"/>
      <c r="J144" s="73">
        <v>365</v>
      </c>
      <c r="K144" s="78">
        <v>25</v>
      </c>
      <c r="L144" s="78">
        <v>1670</v>
      </c>
    </row>
    <row r="145" spans="2:12">
      <c r="B145" s="73">
        <f>IF(FacilitySchedule[[#This Row],[Active]]=TRUE,1,0)</f>
        <v>1</v>
      </c>
      <c r="C145" s="75" t="b">
        <v>1</v>
      </c>
      <c r="D145" s="74" t="s">
        <v>971</v>
      </c>
      <c r="E145" s="76" t="s">
        <v>700</v>
      </c>
      <c r="F145" s="76"/>
      <c r="G145" s="77">
        <v>44197</v>
      </c>
      <c r="H145" s="77">
        <v>44561</v>
      </c>
      <c r="I145" s="73"/>
      <c r="J145" s="73">
        <v>365</v>
      </c>
      <c r="K145" s="78">
        <v>25</v>
      </c>
      <c r="L145" s="78">
        <v>1671</v>
      </c>
    </row>
    <row r="146" spans="2:12">
      <c r="B146" s="73">
        <f>IF(FacilitySchedule[[#This Row],[Active]]=TRUE,1,0)</f>
        <v>1</v>
      </c>
      <c r="C146" s="75" t="b">
        <v>1</v>
      </c>
      <c r="D146" s="74" t="s">
        <v>971</v>
      </c>
      <c r="E146" s="76" t="s">
        <v>700</v>
      </c>
      <c r="F146" s="76"/>
      <c r="G146" s="77">
        <v>44562</v>
      </c>
      <c r="H146" s="77">
        <v>44926</v>
      </c>
      <c r="I146" s="73"/>
      <c r="J146" s="73">
        <v>365</v>
      </c>
      <c r="K146" s="78">
        <v>25</v>
      </c>
      <c r="L146" s="78">
        <v>1672</v>
      </c>
    </row>
    <row r="147" spans="2:12">
      <c r="B147" s="73">
        <f>IF(FacilitySchedule[[#This Row],[Active]]=TRUE,1,0)</f>
        <v>1</v>
      </c>
      <c r="C147" s="75" t="b">
        <v>1</v>
      </c>
      <c r="D147" s="74" t="s">
        <v>972</v>
      </c>
      <c r="E147" s="76" t="s">
        <v>1204</v>
      </c>
      <c r="F147" s="76"/>
      <c r="G147" s="77">
        <v>43101</v>
      </c>
      <c r="H147" s="77">
        <v>43465</v>
      </c>
      <c r="I147" s="73"/>
      <c r="J147" s="73">
        <v>365</v>
      </c>
      <c r="K147" s="78">
        <v>25</v>
      </c>
      <c r="L147" s="78">
        <v>1673</v>
      </c>
    </row>
    <row r="148" spans="2:12">
      <c r="B148" s="73">
        <f>IF(FacilitySchedule[[#This Row],[Active]]=TRUE,1,0)</f>
        <v>1</v>
      </c>
      <c r="C148" s="75" t="b">
        <v>1</v>
      </c>
      <c r="D148" s="74" t="s">
        <v>972</v>
      </c>
      <c r="E148" s="76" t="s">
        <v>1204</v>
      </c>
      <c r="F148" s="76"/>
      <c r="G148" s="77">
        <v>43466</v>
      </c>
      <c r="H148" s="77">
        <v>43830</v>
      </c>
      <c r="I148" s="73"/>
      <c r="J148" s="73">
        <v>365</v>
      </c>
      <c r="K148" s="78">
        <v>25</v>
      </c>
      <c r="L148" s="78">
        <v>1674</v>
      </c>
    </row>
    <row r="149" spans="2:12">
      <c r="B149" s="73">
        <f>IF(FacilitySchedule[[#This Row],[Active]]=TRUE,1,0)</f>
        <v>1</v>
      </c>
      <c r="C149" s="75" t="b">
        <v>1</v>
      </c>
      <c r="D149" s="74" t="s">
        <v>972</v>
      </c>
      <c r="E149" s="76" t="s">
        <v>1210</v>
      </c>
      <c r="F149" s="76"/>
      <c r="G149" s="77">
        <v>43831</v>
      </c>
      <c r="H149" s="77">
        <v>44196</v>
      </c>
      <c r="I149" s="73"/>
      <c r="J149" s="73">
        <v>365</v>
      </c>
      <c r="K149" s="78">
        <v>25</v>
      </c>
      <c r="L149" s="78">
        <v>1675</v>
      </c>
    </row>
    <row r="150" spans="2:12">
      <c r="B150" s="73">
        <f>IF(FacilitySchedule[[#This Row],[Active]]=TRUE,1,0)</f>
        <v>1</v>
      </c>
      <c r="C150" s="75" t="b">
        <v>1</v>
      </c>
      <c r="D150" s="74" t="s">
        <v>972</v>
      </c>
      <c r="E150" s="76" t="s">
        <v>1211</v>
      </c>
      <c r="F150" s="76"/>
      <c r="G150" s="77">
        <v>44197</v>
      </c>
      <c r="H150" s="77">
        <v>44561</v>
      </c>
      <c r="I150" s="73"/>
      <c r="J150" s="73">
        <v>365</v>
      </c>
      <c r="K150" s="78">
        <v>25</v>
      </c>
      <c r="L150" s="78">
        <v>1676</v>
      </c>
    </row>
    <row r="151" spans="2:12">
      <c r="B151" s="73">
        <f>IF(FacilitySchedule[[#This Row],[Active]]=TRUE,1,0)</f>
        <v>1</v>
      </c>
      <c r="C151" s="75" t="b">
        <v>1</v>
      </c>
      <c r="D151" s="74" t="s">
        <v>972</v>
      </c>
      <c r="E151" s="76" t="s">
        <v>1211</v>
      </c>
      <c r="F151" s="76"/>
      <c r="G151" s="77">
        <v>44562</v>
      </c>
      <c r="H151" s="77">
        <v>44926</v>
      </c>
      <c r="I151" s="73"/>
      <c r="J151" s="73">
        <v>365</v>
      </c>
      <c r="K151" s="78">
        <v>25</v>
      </c>
      <c r="L151" s="78">
        <v>1677</v>
      </c>
    </row>
    <row r="152" spans="2:12">
      <c r="B152" s="73">
        <f>IF(FacilitySchedule[[#This Row],[Active]]=TRUE,1,0)</f>
        <v>1</v>
      </c>
      <c r="C152" s="75" t="b">
        <v>1</v>
      </c>
      <c r="D152" s="74" t="s">
        <v>974</v>
      </c>
      <c r="E152" s="76" t="s">
        <v>1062</v>
      </c>
      <c r="F152" s="76"/>
      <c r="G152" s="77">
        <v>43101</v>
      </c>
      <c r="H152" s="77">
        <v>43465</v>
      </c>
      <c r="I152" s="73"/>
      <c r="J152" s="73">
        <v>365</v>
      </c>
      <c r="K152" s="78">
        <v>25</v>
      </c>
      <c r="L152" s="78">
        <v>1678</v>
      </c>
    </row>
    <row r="153" spans="2:12">
      <c r="B153" s="73">
        <f>IF(FacilitySchedule[[#This Row],[Active]]=TRUE,1,0)</f>
        <v>1</v>
      </c>
      <c r="C153" s="75" t="b">
        <v>1</v>
      </c>
      <c r="D153" s="74" t="s">
        <v>974</v>
      </c>
      <c r="E153" s="76" t="s">
        <v>1062</v>
      </c>
      <c r="F153" s="76"/>
      <c r="G153" s="77">
        <v>43466</v>
      </c>
      <c r="H153" s="77">
        <v>43830</v>
      </c>
      <c r="I153" s="73"/>
      <c r="J153" s="73">
        <v>365</v>
      </c>
      <c r="K153" s="78">
        <v>25</v>
      </c>
      <c r="L153" s="78">
        <v>1679</v>
      </c>
    </row>
    <row r="154" spans="2:12">
      <c r="B154" s="73">
        <f>IF(FacilitySchedule[[#This Row],[Active]]=TRUE,1,0)</f>
        <v>1</v>
      </c>
      <c r="C154" s="75" t="b">
        <v>1</v>
      </c>
      <c r="D154" s="74" t="s">
        <v>974</v>
      </c>
      <c r="E154" s="76" t="s">
        <v>1207</v>
      </c>
      <c r="F154" s="76"/>
      <c r="G154" s="77">
        <v>43831</v>
      </c>
      <c r="H154" s="77">
        <v>44196</v>
      </c>
      <c r="I154" s="73"/>
      <c r="J154" s="73">
        <v>365</v>
      </c>
      <c r="K154" s="78">
        <v>25</v>
      </c>
      <c r="L154" s="78">
        <v>1680</v>
      </c>
    </row>
    <row r="155" spans="2:12">
      <c r="B155" s="73">
        <f>IF(FacilitySchedule[[#This Row],[Active]]=TRUE,1,0)</f>
        <v>1</v>
      </c>
      <c r="C155" s="75" t="b">
        <v>1</v>
      </c>
      <c r="D155" s="74" t="s">
        <v>974</v>
      </c>
      <c r="E155" s="76" t="s">
        <v>1207</v>
      </c>
      <c r="F155" s="76"/>
      <c r="G155" s="77">
        <v>44197</v>
      </c>
      <c r="H155" s="77">
        <v>44561</v>
      </c>
      <c r="I155" s="73"/>
      <c r="J155" s="73">
        <v>365</v>
      </c>
      <c r="K155" s="78">
        <v>25</v>
      </c>
      <c r="L155" s="78">
        <v>1681</v>
      </c>
    </row>
    <row r="156" spans="2:12">
      <c r="B156" s="73">
        <f>IF(FacilitySchedule[[#This Row],[Active]]=TRUE,1,0)</f>
        <v>1</v>
      </c>
      <c r="C156" s="75" t="b">
        <v>1</v>
      </c>
      <c r="D156" s="74" t="s">
        <v>974</v>
      </c>
      <c r="E156" s="76" t="s">
        <v>1212</v>
      </c>
      <c r="F156" s="76"/>
      <c r="G156" s="77">
        <v>44562</v>
      </c>
      <c r="H156" s="77">
        <v>44926</v>
      </c>
      <c r="I156" s="73"/>
      <c r="J156" s="73">
        <v>365</v>
      </c>
      <c r="K156" s="78">
        <v>25</v>
      </c>
      <c r="L156" s="78">
        <v>1682</v>
      </c>
    </row>
    <row r="157" spans="2:12">
      <c r="B157" s="73">
        <f>IF(FacilitySchedule[[#This Row],[Active]]=TRUE,1,0)</f>
        <v>1</v>
      </c>
      <c r="C157" s="75" t="b">
        <v>1</v>
      </c>
      <c r="D157" s="74" t="s">
        <v>981</v>
      </c>
      <c r="E157" s="76" t="s">
        <v>1213</v>
      </c>
      <c r="F157" s="76"/>
      <c r="G157" s="77">
        <v>43101</v>
      </c>
      <c r="H157" s="77">
        <v>43465</v>
      </c>
      <c r="I157" s="73"/>
      <c r="J157" s="73">
        <v>365</v>
      </c>
      <c r="K157" s="78">
        <v>25</v>
      </c>
      <c r="L157" s="78">
        <v>1683</v>
      </c>
    </row>
    <row r="158" spans="2:12">
      <c r="B158" s="73">
        <f>IF(FacilitySchedule[[#This Row],[Active]]=TRUE,1,0)</f>
        <v>1</v>
      </c>
      <c r="C158" s="75" t="b">
        <v>1</v>
      </c>
      <c r="D158" s="74" t="s">
        <v>981</v>
      </c>
      <c r="E158" s="76" t="s">
        <v>699</v>
      </c>
      <c r="F158" s="76"/>
      <c r="G158" s="77">
        <v>43466</v>
      </c>
      <c r="H158" s="77">
        <v>43830</v>
      </c>
      <c r="I158" s="73"/>
      <c r="J158" s="73">
        <v>365</v>
      </c>
      <c r="K158" s="78">
        <v>25</v>
      </c>
      <c r="L158" s="78">
        <v>1684</v>
      </c>
    </row>
    <row r="159" spans="2:12">
      <c r="B159" s="73">
        <f>IF(FacilitySchedule[[#This Row],[Active]]=TRUE,1,0)</f>
        <v>1</v>
      </c>
      <c r="C159" s="75" t="b">
        <v>1</v>
      </c>
      <c r="D159" s="74" t="s">
        <v>981</v>
      </c>
      <c r="E159" s="76" t="s">
        <v>699</v>
      </c>
      <c r="F159" s="76"/>
      <c r="G159" s="77">
        <v>43831</v>
      </c>
      <c r="H159" s="77">
        <v>44196</v>
      </c>
      <c r="I159" s="73"/>
      <c r="J159" s="73">
        <v>365</v>
      </c>
      <c r="K159" s="78">
        <v>25</v>
      </c>
      <c r="L159" s="78">
        <v>1685</v>
      </c>
    </row>
    <row r="160" spans="2:12">
      <c r="B160" s="73">
        <f>IF(FacilitySchedule[[#This Row],[Active]]=TRUE,1,0)</f>
        <v>1</v>
      </c>
      <c r="C160" s="75" t="b">
        <v>1</v>
      </c>
      <c r="D160" s="74" t="s">
        <v>981</v>
      </c>
      <c r="E160" s="76" t="s">
        <v>1214</v>
      </c>
      <c r="F160" s="76"/>
      <c r="G160" s="77">
        <v>44197</v>
      </c>
      <c r="H160" s="77">
        <v>44561</v>
      </c>
      <c r="I160" s="73"/>
      <c r="J160" s="73">
        <v>365</v>
      </c>
      <c r="K160" s="78">
        <v>25</v>
      </c>
      <c r="L160" s="78">
        <v>1686</v>
      </c>
    </row>
    <row r="161" spans="2:12">
      <c r="B161" s="73">
        <f>IF(FacilitySchedule[[#This Row],[Active]]=TRUE,1,0)</f>
        <v>1</v>
      </c>
      <c r="C161" s="75" t="b">
        <v>1</v>
      </c>
      <c r="D161" s="74" t="s">
        <v>981</v>
      </c>
      <c r="E161" s="76" t="s">
        <v>1215</v>
      </c>
      <c r="F161" s="76"/>
      <c r="G161" s="77">
        <v>44562</v>
      </c>
      <c r="H161" s="77">
        <v>44926</v>
      </c>
      <c r="I161" s="73"/>
      <c r="J161" s="73">
        <v>365</v>
      </c>
      <c r="K161" s="78">
        <v>25</v>
      </c>
      <c r="L161" s="78">
        <v>1687</v>
      </c>
    </row>
    <row r="162" spans="2:12">
      <c r="B162" s="73">
        <f>IF(FacilitySchedule[[#This Row],[Active]]=TRUE,1,0)</f>
        <v>1</v>
      </c>
      <c r="C162" s="75" t="b">
        <v>1</v>
      </c>
      <c r="D162" s="74" t="s">
        <v>978</v>
      </c>
      <c r="E162" s="76" t="s">
        <v>1062</v>
      </c>
      <c r="F162" s="76"/>
      <c r="G162" s="77">
        <v>43101</v>
      </c>
      <c r="H162" s="77">
        <v>43465</v>
      </c>
      <c r="I162" s="73"/>
      <c r="J162" s="73">
        <v>365</v>
      </c>
      <c r="K162" s="78">
        <v>25</v>
      </c>
      <c r="L162" s="78">
        <v>1688</v>
      </c>
    </row>
    <row r="163" spans="2:12">
      <c r="B163" s="73">
        <f>IF(FacilitySchedule[[#This Row],[Active]]=TRUE,1,0)</f>
        <v>1</v>
      </c>
      <c r="C163" s="75" t="b">
        <v>1</v>
      </c>
      <c r="D163" s="74" t="s">
        <v>978</v>
      </c>
      <c r="E163" s="76" t="s">
        <v>1062</v>
      </c>
      <c r="F163" s="76"/>
      <c r="G163" s="77">
        <v>43466</v>
      </c>
      <c r="H163" s="77">
        <v>43830</v>
      </c>
      <c r="I163" s="73"/>
      <c r="J163" s="73">
        <v>365</v>
      </c>
      <c r="K163" s="78">
        <v>25</v>
      </c>
      <c r="L163" s="78">
        <v>1689</v>
      </c>
    </row>
    <row r="164" spans="2:12">
      <c r="B164" s="73">
        <f>IF(FacilitySchedule[[#This Row],[Active]]=TRUE,1,0)</f>
        <v>1</v>
      </c>
      <c r="C164" s="75" t="b">
        <v>1</v>
      </c>
      <c r="D164" s="74" t="s">
        <v>978</v>
      </c>
      <c r="E164" s="76" t="s">
        <v>1062</v>
      </c>
      <c r="F164" s="76"/>
      <c r="G164" s="77">
        <v>43831</v>
      </c>
      <c r="H164" s="77">
        <v>44196</v>
      </c>
      <c r="I164" s="73"/>
      <c r="J164" s="73">
        <v>365</v>
      </c>
      <c r="K164" s="78">
        <v>25</v>
      </c>
      <c r="L164" s="78">
        <v>1690</v>
      </c>
    </row>
    <row r="165" spans="2:12">
      <c r="B165" s="73">
        <f>IF(FacilitySchedule[[#This Row],[Active]]=TRUE,1,0)</f>
        <v>1</v>
      </c>
      <c r="C165" s="75" t="b">
        <v>1</v>
      </c>
      <c r="D165" s="74" t="s">
        <v>978</v>
      </c>
      <c r="E165" s="76" t="s">
        <v>1062</v>
      </c>
      <c r="F165" s="76"/>
      <c r="G165" s="77">
        <v>44197</v>
      </c>
      <c r="H165" s="77">
        <v>44561</v>
      </c>
      <c r="I165" s="73"/>
      <c r="J165" s="73">
        <v>365</v>
      </c>
      <c r="K165" s="78">
        <v>25</v>
      </c>
      <c r="L165" s="78">
        <v>1691</v>
      </c>
    </row>
    <row r="166" spans="2:12">
      <c r="B166" s="73">
        <f>IF(FacilitySchedule[[#This Row],[Active]]=TRUE,1,0)</f>
        <v>1</v>
      </c>
      <c r="C166" s="75" t="b">
        <v>1</v>
      </c>
      <c r="D166" s="74" t="s">
        <v>978</v>
      </c>
      <c r="E166" s="76" t="s">
        <v>1062</v>
      </c>
      <c r="F166" s="76"/>
      <c r="G166" s="77">
        <v>44562</v>
      </c>
      <c r="H166" s="77">
        <v>44926</v>
      </c>
      <c r="I166" s="73"/>
      <c r="J166" s="73">
        <v>365</v>
      </c>
      <c r="K166" s="78">
        <v>25</v>
      </c>
      <c r="L166" s="78">
        <v>1692</v>
      </c>
    </row>
    <row r="167" spans="2:12">
      <c r="B167" s="73">
        <f>IF(FacilitySchedule[[#This Row],[Active]]=TRUE,1,0)</f>
        <v>1</v>
      </c>
      <c r="C167" s="75" t="b">
        <v>1</v>
      </c>
      <c r="D167" s="74" t="s">
        <v>979</v>
      </c>
      <c r="E167" s="76" t="s">
        <v>1062</v>
      </c>
      <c r="F167" s="76"/>
      <c r="G167" s="77">
        <v>43101</v>
      </c>
      <c r="H167" s="77">
        <v>43465</v>
      </c>
      <c r="I167" s="73"/>
      <c r="J167" s="73">
        <v>365</v>
      </c>
      <c r="K167" s="78">
        <v>25</v>
      </c>
      <c r="L167" s="78">
        <v>1693</v>
      </c>
    </row>
    <row r="168" spans="2:12">
      <c r="B168" s="73">
        <f>IF(FacilitySchedule[[#This Row],[Active]]=TRUE,1,0)</f>
        <v>1</v>
      </c>
      <c r="C168" s="75" t="b">
        <v>1</v>
      </c>
      <c r="D168" s="74" t="s">
        <v>979</v>
      </c>
      <c r="E168" s="76" t="s">
        <v>1062</v>
      </c>
      <c r="F168" s="76"/>
      <c r="G168" s="77">
        <v>43466</v>
      </c>
      <c r="H168" s="77">
        <v>43830</v>
      </c>
      <c r="I168" s="73"/>
      <c r="J168" s="73">
        <v>365</v>
      </c>
      <c r="K168" s="78">
        <v>25</v>
      </c>
      <c r="L168" s="78">
        <v>1694</v>
      </c>
    </row>
    <row r="169" spans="2:12">
      <c r="B169" s="73">
        <f>IF(FacilitySchedule[[#This Row],[Active]]=TRUE,1,0)</f>
        <v>1</v>
      </c>
      <c r="C169" s="75" t="b">
        <v>1</v>
      </c>
      <c r="D169" s="74" t="s">
        <v>979</v>
      </c>
      <c r="E169" s="76" t="s">
        <v>1062</v>
      </c>
      <c r="F169" s="76"/>
      <c r="G169" s="77">
        <v>43831</v>
      </c>
      <c r="H169" s="77">
        <v>44196</v>
      </c>
      <c r="I169" s="73"/>
      <c r="J169" s="73">
        <v>365</v>
      </c>
      <c r="K169" s="78">
        <v>25</v>
      </c>
      <c r="L169" s="78">
        <v>1695</v>
      </c>
    </row>
    <row r="170" spans="2:12">
      <c r="B170" s="73">
        <f>IF(FacilitySchedule[[#This Row],[Active]]=TRUE,1,0)</f>
        <v>1</v>
      </c>
      <c r="C170" s="75" t="b">
        <v>1</v>
      </c>
      <c r="D170" s="74" t="s">
        <v>979</v>
      </c>
      <c r="E170" s="76" t="s">
        <v>1062</v>
      </c>
      <c r="F170" s="76"/>
      <c r="G170" s="77">
        <v>44197</v>
      </c>
      <c r="H170" s="77">
        <v>44561</v>
      </c>
      <c r="I170" s="73"/>
      <c r="J170" s="73">
        <v>365</v>
      </c>
      <c r="K170" s="78">
        <v>25</v>
      </c>
      <c r="L170" s="78">
        <v>1696</v>
      </c>
    </row>
    <row r="171" spans="2:12">
      <c r="B171" s="73">
        <f>IF(FacilitySchedule[[#This Row],[Active]]=TRUE,1,0)</f>
        <v>1</v>
      </c>
      <c r="C171" s="75" t="b">
        <v>1</v>
      </c>
      <c r="D171" s="74" t="s">
        <v>979</v>
      </c>
      <c r="E171" s="76" t="s">
        <v>1062</v>
      </c>
      <c r="F171" s="76"/>
      <c r="G171" s="77">
        <v>44562</v>
      </c>
      <c r="H171" s="77">
        <v>44926</v>
      </c>
      <c r="I171" s="73"/>
      <c r="J171" s="73">
        <v>365</v>
      </c>
      <c r="K171" s="78">
        <v>25</v>
      </c>
      <c r="L171" s="78">
        <v>1697</v>
      </c>
    </row>
    <row r="172" spans="2:12">
      <c r="B172" s="73">
        <f>IF(FacilitySchedule[[#This Row],[Active]]=TRUE,1,0)</f>
        <v>1</v>
      </c>
      <c r="C172" s="75" t="b">
        <v>1</v>
      </c>
      <c r="D172" s="74" t="s">
        <v>980</v>
      </c>
      <c r="E172" s="76" t="s">
        <v>1062</v>
      </c>
      <c r="F172" s="76"/>
      <c r="G172" s="77">
        <v>42736</v>
      </c>
      <c r="H172" s="77">
        <v>43100</v>
      </c>
      <c r="I172" s="73"/>
      <c r="J172" s="73">
        <v>365</v>
      </c>
      <c r="K172" s="78">
        <v>25</v>
      </c>
      <c r="L172" s="78">
        <v>1698</v>
      </c>
    </row>
    <row r="173" spans="2:12">
      <c r="B173" s="73">
        <f>IF(FacilitySchedule[[#This Row],[Active]]=TRUE,1,0)</f>
        <v>1</v>
      </c>
      <c r="C173" s="75" t="b">
        <v>1</v>
      </c>
      <c r="D173" s="74" t="s">
        <v>980</v>
      </c>
      <c r="E173" s="76" t="s">
        <v>1062</v>
      </c>
      <c r="F173" s="76"/>
      <c r="G173" s="77">
        <v>43101</v>
      </c>
      <c r="H173" s="77">
        <v>43465</v>
      </c>
      <c r="I173" s="73"/>
      <c r="J173" s="73">
        <v>365</v>
      </c>
      <c r="K173" s="78">
        <v>25</v>
      </c>
      <c r="L173" s="78">
        <v>1699</v>
      </c>
    </row>
    <row r="174" spans="2:12">
      <c r="B174" s="73">
        <f>IF(FacilitySchedule[[#This Row],[Active]]=TRUE,1,0)</f>
        <v>1</v>
      </c>
      <c r="C174" s="75" t="b">
        <v>1</v>
      </c>
      <c r="D174" s="74" t="s">
        <v>980</v>
      </c>
      <c r="E174" s="76" t="s">
        <v>1062</v>
      </c>
      <c r="F174" s="76"/>
      <c r="G174" s="77">
        <v>43466</v>
      </c>
      <c r="H174" s="77">
        <v>43830</v>
      </c>
      <c r="I174" s="73"/>
      <c r="J174" s="73">
        <v>365</v>
      </c>
      <c r="K174" s="78">
        <v>25</v>
      </c>
      <c r="L174" s="78">
        <v>1700</v>
      </c>
    </row>
    <row r="175" spans="2:12">
      <c r="B175" s="73">
        <f>IF(FacilitySchedule[[#This Row],[Active]]=TRUE,1,0)</f>
        <v>1</v>
      </c>
      <c r="C175" s="75" t="b">
        <v>1</v>
      </c>
      <c r="D175" s="74" t="s">
        <v>980</v>
      </c>
      <c r="E175" s="76" t="s">
        <v>1207</v>
      </c>
      <c r="F175" s="76"/>
      <c r="G175" s="77">
        <v>44197</v>
      </c>
      <c r="H175" s="77">
        <v>44561</v>
      </c>
      <c r="I175" s="73"/>
      <c r="J175" s="73">
        <v>365</v>
      </c>
      <c r="K175" s="78">
        <v>25</v>
      </c>
      <c r="L175" s="78">
        <v>1701</v>
      </c>
    </row>
    <row r="176" spans="2:12">
      <c r="B176" s="73">
        <f>IF(FacilitySchedule[[#This Row],[Active]]=TRUE,1,0)</f>
        <v>1</v>
      </c>
      <c r="C176" s="75" t="b">
        <v>1</v>
      </c>
      <c r="D176" s="74" t="s">
        <v>980</v>
      </c>
      <c r="E176" s="76" t="s">
        <v>1212</v>
      </c>
      <c r="F176" s="76"/>
      <c r="G176" s="77">
        <v>44562</v>
      </c>
      <c r="H176" s="77">
        <v>44926</v>
      </c>
      <c r="I176" s="73"/>
      <c r="J176" s="73">
        <v>365</v>
      </c>
      <c r="K176" s="78">
        <v>25</v>
      </c>
      <c r="L176" s="78">
        <v>1702</v>
      </c>
    </row>
    <row r="177" spans="2:12">
      <c r="B177" s="73">
        <f>IF(FacilitySchedule[[#This Row],[Active]]=TRUE,1,0)</f>
        <v>1</v>
      </c>
      <c r="C177" s="75" t="b">
        <v>1</v>
      </c>
      <c r="D177" s="74" t="s">
        <v>982</v>
      </c>
      <c r="E177" s="76" t="s">
        <v>1216</v>
      </c>
      <c r="F177" s="76"/>
      <c r="G177" s="77">
        <v>43101</v>
      </c>
      <c r="H177" s="77">
        <v>43465</v>
      </c>
      <c r="I177" s="73"/>
      <c r="J177" s="73">
        <v>365</v>
      </c>
      <c r="K177" s="78">
        <v>25</v>
      </c>
      <c r="L177" s="78">
        <v>1703</v>
      </c>
    </row>
    <row r="178" spans="2:12">
      <c r="B178" s="73">
        <f>IF(FacilitySchedule[[#This Row],[Active]]=TRUE,1,0)</f>
        <v>1</v>
      </c>
      <c r="C178" s="75" t="b">
        <v>1</v>
      </c>
      <c r="D178" s="74" t="s">
        <v>982</v>
      </c>
      <c r="E178" s="76" t="s">
        <v>1216</v>
      </c>
      <c r="F178" s="76"/>
      <c r="G178" s="77">
        <v>43466</v>
      </c>
      <c r="H178" s="77">
        <v>43830</v>
      </c>
      <c r="I178" s="73"/>
      <c r="J178" s="73">
        <v>365</v>
      </c>
      <c r="K178" s="78">
        <v>25</v>
      </c>
      <c r="L178" s="78">
        <v>1704</v>
      </c>
    </row>
    <row r="179" spans="2:12">
      <c r="B179" s="73">
        <f>IF(FacilitySchedule[[#This Row],[Active]]=TRUE,1,0)</f>
        <v>1</v>
      </c>
      <c r="C179" s="75" t="b">
        <v>1</v>
      </c>
      <c r="D179" s="74" t="s">
        <v>982</v>
      </c>
      <c r="E179" s="76" t="s">
        <v>1216</v>
      </c>
      <c r="F179" s="76"/>
      <c r="G179" s="77">
        <v>43831</v>
      </c>
      <c r="H179" s="77">
        <v>44196</v>
      </c>
      <c r="I179" s="73"/>
      <c r="J179" s="73">
        <v>365</v>
      </c>
      <c r="K179" s="78">
        <v>25</v>
      </c>
      <c r="L179" s="78">
        <v>1705</v>
      </c>
    </row>
    <row r="180" spans="2:12">
      <c r="B180" s="73">
        <f>IF(FacilitySchedule[[#This Row],[Active]]=TRUE,1,0)</f>
        <v>1</v>
      </c>
      <c r="C180" s="75" t="b">
        <v>1</v>
      </c>
      <c r="D180" s="74" t="s">
        <v>982</v>
      </c>
      <c r="E180" s="76" t="s">
        <v>1024</v>
      </c>
      <c r="F180" s="76"/>
      <c r="G180" s="77">
        <v>44197</v>
      </c>
      <c r="H180" s="77">
        <v>44561</v>
      </c>
      <c r="I180" s="73"/>
      <c r="J180" s="73">
        <v>365</v>
      </c>
      <c r="K180" s="78">
        <v>25</v>
      </c>
      <c r="L180" s="78">
        <v>1706</v>
      </c>
    </row>
    <row r="181" spans="2:12">
      <c r="B181" s="73">
        <f>IF(FacilitySchedule[[#This Row],[Active]]=TRUE,1,0)</f>
        <v>1</v>
      </c>
      <c r="C181" s="75" t="b">
        <v>1</v>
      </c>
      <c r="D181" s="74" t="s">
        <v>982</v>
      </c>
      <c r="E181" s="76" t="s">
        <v>1062</v>
      </c>
      <c r="F181" s="76"/>
      <c r="G181" s="77">
        <v>44562</v>
      </c>
      <c r="H181" s="77">
        <v>44926</v>
      </c>
      <c r="I181" s="73"/>
      <c r="J181" s="73">
        <v>365</v>
      </c>
      <c r="K181" s="78">
        <v>25</v>
      </c>
      <c r="L181" s="78">
        <v>1707</v>
      </c>
    </row>
    <row r="182" spans="2:12">
      <c r="B182" s="73">
        <f>IF(FacilitySchedule[[#This Row],[Active]]=TRUE,1,0)</f>
        <v>1</v>
      </c>
      <c r="C182" s="75" t="b">
        <v>1</v>
      </c>
      <c r="D182" s="74" t="s">
        <v>984</v>
      </c>
      <c r="E182" s="76" t="s">
        <v>1204</v>
      </c>
      <c r="F182" s="76"/>
      <c r="G182" s="77">
        <v>43101</v>
      </c>
      <c r="H182" s="77">
        <v>43465</v>
      </c>
      <c r="I182" s="73"/>
      <c r="J182" s="73">
        <v>365</v>
      </c>
      <c r="K182" s="78">
        <v>25</v>
      </c>
      <c r="L182" s="78">
        <v>1708</v>
      </c>
    </row>
    <row r="183" spans="2:12">
      <c r="B183" s="73">
        <f>IF(FacilitySchedule[[#This Row],[Active]]=TRUE,1,0)</f>
        <v>1</v>
      </c>
      <c r="C183" s="75" t="b">
        <v>1</v>
      </c>
      <c r="D183" s="74" t="s">
        <v>984</v>
      </c>
      <c r="E183" s="76" t="s">
        <v>1204</v>
      </c>
      <c r="F183" s="76"/>
      <c r="G183" s="77">
        <v>43466</v>
      </c>
      <c r="H183" s="77">
        <v>43830</v>
      </c>
      <c r="I183" s="73"/>
      <c r="J183" s="73">
        <v>365</v>
      </c>
      <c r="K183" s="78">
        <v>25</v>
      </c>
      <c r="L183" s="78">
        <v>1709</v>
      </c>
    </row>
    <row r="184" spans="2:12">
      <c r="B184" s="73">
        <f>IF(FacilitySchedule[[#This Row],[Active]]=TRUE,1,0)</f>
        <v>1</v>
      </c>
      <c r="C184" s="75" t="b">
        <v>1</v>
      </c>
      <c r="D184" s="74" t="s">
        <v>984</v>
      </c>
      <c r="E184" s="76" t="s">
        <v>1210</v>
      </c>
      <c r="F184" s="76"/>
      <c r="G184" s="77">
        <v>43831</v>
      </c>
      <c r="H184" s="77">
        <v>44196</v>
      </c>
      <c r="I184" s="73"/>
      <c r="J184" s="73">
        <v>365</v>
      </c>
      <c r="K184" s="78">
        <v>25</v>
      </c>
      <c r="L184" s="78">
        <v>1710</v>
      </c>
    </row>
    <row r="185" spans="2:12">
      <c r="B185" s="73">
        <f>IF(FacilitySchedule[[#This Row],[Active]]=TRUE,1,0)</f>
        <v>1</v>
      </c>
      <c r="C185" s="75" t="b">
        <v>1</v>
      </c>
      <c r="D185" s="74" t="s">
        <v>984</v>
      </c>
      <c r="E185" s="76" t="s">
        <v>1211</v>
      </c>
      <c r="F185" s="76"/>
      <c r="G185" s="77">
        <v>44197</v>
      </c>
      <c r="H185" s="77">
        <v>44561</v>
      </c>
      <c r="I185" s="73"/>
      <c r="J185" s="73">
        <v>365</v>
      </c>
      <c r="K185" s="78">
        <v>25</v>
      </c>
      <c r="L185" s="78">
        <v>1711</v>
      </c>
    </row>
    <row r="186" spans="2:12">
      <c r="B186" s="73">
        <f>IF(FacilitySchedule[[#This Row],[Active]]=TRUE,1,0)</f>
        <v>1</v>
      </c>
      <c r="C186" s="75" t="b">
        <v>1</v>
      </c>
      <c r="D186" s="74" t="s">
        <v>984</v>
      </c>
      <c r="E186" s="76" t="s">
        <v>1211</v>
      </c>
      <c r="F186" s="76"/>
      <c r="G186" s="77">
        <v>44562</v>
      </c>
      <c r="H186" s="77">
        <v>44926</v>
      </c>
      <c r="I186" s="73"/>
      <c r="J186" s="73">
        <v>365</v>
      </c>
      <c r="K186" s="78">
        <v>25</v>
      </c>
      <c r="L186" s="78">
        <v>1712</v>
      </c>
    </row>
    <row r="187" spans="2:12">
      <c r="B187" s="73">
        <f>IF(FacilitySchedule[[#This Row],[Active]]=TRUE,1,0)</f>
        <v>1</v>
      </c>
      <c r="C187" s="75" t="b">
        <v>1</v>
      </c>
      <c r="D187" s="74" t="s">
        <v>985</v>
      </c>
      <c r="E187" s="76" t="s">
        <v>1216</v>
      </c>
      <c r="F187" s="76"/>
      <c r="G187" s="77">
        <v>43101</v>
      </c>
      <c r="H187" s="77">
        <v>43465</v>
      </c>
      <c r="I187" s="73"/>
      <c r="J187" s="73">
        <v>365</v>
      </c>
      <c r="K187" s="78">
        <v>25</v>
      </c>
      <c r="L187" s="78">
        <v>1713</v>
      </c>
    </row>
    <row r="188" spans="2:12">
      <c r="B188" s="73">
        <f>IF(FacilitySchedule[[#This Row],[Active]]=TRUE,1,0)</f>
        <v>1</v>
      </c>
      <c r="C188" s="75" t="b">
        <v>1</v>
      </c>
      <c r="D188" s="74" t="s">
        <v>985</v>
      </c>
      <c r="E188" s="76" t="s">
        <v>1216</v>
      </c>
      <c r="F188" s="76"/>
      <c r="G188" s="77">
        <v>43466</v>
      </c>
      <c r="H188" s="77">
        <v>43830</v>
      </c>
      <c r="I188" s="73"/>
      <c r="J188" s="73">
        <v>365</v>
      </c>
      <c r="K188" s="78">
        <v>25</v>
      </c>
      <c r="L188" s="78">
        <v>1714</v>
      </c>
    </row>
    <row r="189" spans="2:12">
      <c r="B189" s="73">
        <f>IF(FacilitySchedule[[#This Row],[Active]]=TRUE,1,0)</f>
        <v>1</v>
      </c>
      <c r="C189" s="75" t="b">
        <v>1</v>
      </c>
      <c r="D189" s="74" t="s">
        <v>985</v>
      </c>
      <c r="E189" s="76" t="s">
        <v>1216</v>
      </c>
      <c r="F189" s="76"/>
      <c r="G189" s="77">
        <v>43831</v>
      </c>
      <c r="H189" s="77">
        <v>44196</v>
      </c>
      <c r="I189" s="73"/>
      <c r="J189" s="73">
        <v>365</v>
      </c>
      <c r="K189" s="78">
        <v>25</v>
      </c>
      <c r="L189" s="78">
        <v>1715</v>
      </c>
    </row>
    <row r="190" spans="2:12">
      <c r="B190" s="73">
        <f>IF(FacilitySchedule[[#This Row],[Active]]=TRUE,1,0)</f>
        <v>1</v>
      </c>
      <c r="C190" s="75" t="b">
        <v>1</v>
      </c>
      <c r="D190" s="74" t="s">
        <v>985</v>
      </c>
      <c r="E190" s="76" t="s">
        <v>1024</v>
      </c>
      <c r="F190" s="76"/>
      <c r="G190" s="77">
        <v>44197</v>
      </c>
      <c r="H190" s="77">
        <v>44561</v>
      </c>
      <c r="I190" s="73"/>
      <c r="J190" s="73">
        <v>365</v>
      </c>
      <c r="K190" s="78">
        <v>25</v>
      </c>
      <c r="L190" s="78">
        <v>1716</v>
      </c>
    </row>
    <row r="191" spans="2:12">
      <c r="B191" s="73">
        <f>IF(FacilitySchedule[[#This Row],[Active]]=TRUE,1,0)</f>
        <v>1</v>
      </c>
      <c r="C191" s="75" t="b">
        <v>1</v>
      </c>
      <c r="D191" s="74" t="s">
        <v>985</v>
      </c>
      <c r="E191" s="76" t="s">
        <v>1062</v>
      </c>
      <c r="F191" s="76"/>
      <c r="G191" s="77">
        <v>44562</v>
      </c>
      <c r="H191" s="77">
        <v>44926</v>
      </c>
      <c r="I191" s="73"/>
      <c r="J191" s="73">
        <v>365</v>
      </c>
      <c r="K191" s="78">
        <v>25</v>
      </c>
      <c r="L191" s="78">
        <v>1717</v>
      </c>
    </row>
    <row r="192" spans="2:12">
      <c r="B192" s="73">
        <f>IF(FacilitySchedule[[#This Row],[Active]]=TRUE,1,0)</f>
        <v>1</v>
      </c>
      <c r="C192" s="75" t="b">
        <v>1</v>
      </c>
      <c r="D192" s="74" t="s">
        <v>987</v>
      </c>
      <c r="E192" s="76" t="s">
        <v>1216</v>
      </c>
      <c r="F192" s="76"/>
      <c r="G192" s="77">
        <v>43101</v>
      </c>
      <c r="H192" s="77">
        <v>43465</v>
      </c>
      <c r="I192" s="73"/>
      <c r="J192" s="73">
        <v>365</v>
      </c>
      <c r="K192" s="78">
        <v>25</v>
      </c>
      <c r="L192" s="78">
        <v>1718</v>
      </c>
    </row>
    <row r="193" spans="2:12">
      <c r="B193" s="73">
        <f>IF(FacilitySchedule[[#This Row],[Active]]=TRUE,1,0)</f>
        <v>1</v>
      </c>
      <c r="C193" s="75" t="b">
        <v>1</v>
      </c>
      <c r="D193" s="74" t="s">
        <v>987</v>
      </c>
      <c r="E193" s="76" t="s">
        <v>1216</v>
      </c>
      <c r="F193" s="76"/>
      <c r="G193" s="77">
        <v>43466</v>
      </c>
      <c r="H193" s="77">
        <v>43830</v>
      </c>
      <c r="I193" s="73"/>
      <c r="J193" s="73">
        <v>365</v>
      </c>
      <c r="K193" s="78">
        <v>25</v>
      </c>
      <c r="L193" s="78">
        <v>1719</v>
      </c>
    </row>
    <row r="194" spans="2:12">
      <c r="B194" s="73">
        <f>IF(FacilitySchedule[[#This Row],[Active]]=TRUE,1,0)</f>
        <v>1</v>
      </c>
      <c r="C194" s="75" t="b">
        <v>1</v>
      </c>
      <c r="D194" s="74" t="s">
        <v>987</v>
      </c>
      <c r="E194" s="76" t="s">
        <v>1216</v>
      </c>
      <c r="F194" s="76"/>
      <c r="G194" s="77">
        <v>43831</v>
      </c>
      <c r="H194" s="77">
        <v>44196</v>
      </c>
      <c r="I194" s="73"/>
      <c r="J194" s="73">
        <v>365</v>
      </c>
      <c r="K194" s="78">
        <v>25</v>
      </c>
      <c r="L194" s="78">
        <v>1720</v>
      </c>
    </row>
    <row r="195" spans="2:12">
      <c r="B195" s="73">
        <f>IF(FacilitySchedule[[#This Row],[Active]]=TRUE,1,0)</f>
        <v>1</v>
      </c>
      <c r="C195" s="75" t="b">
        <v>1</v>
      </c>
      <c r="D195" s="74" t="s">
        <v>987</v>
      </c>
      <c r="E195" s="76" t="s">
        <v>1024</v>
      </c>
      <c r="F195" s="76"/>
      <c r="G195" s="77">
        <v>44197</v>
      </c>
      <c r="H195" s="77">
        <v>44561</v>
      </c>
      <c r="I195" s="73"/>
      <c r="J195" s="73">
        <v>365</v>
      </c>
      <c r="K195" s="78">
        <v>25</v>
      </c>
      <c r="L195" s="78">
        <v>1721</v>
      </c>
    </row>
    <row r="196" spans="2:12">
      <c r="B196" s="73">
        <f>IF(FacilitySchedule[[#This Row],[Active]]=TRUE,1,0)</f>
        <v>1</v>
      </c>
      <c r="C196" s="75" t="b">
        <v>1</v>
      </c>
      <c r="D196" s="74" t="s">
        <v>987</v>
      </c>
      <c r="E196" s="76" t="s">
        <v>1062</v>
      </c>
      <c r="F196" s="76"/>
      <c r="G196" s="77">
        <v>44562</v>
      </c>
      <c r="H196" s="77">
        <v>44926</v>
      </c>
      <c r="I196" s="73"/>
      <c r="J196" s="73">
        <v>365</v>
      </c>
      <c r="K196" s="78">
        <v>25</v>
      </c>
      <c r="L196" s="78">
        <v>1722</v>
      </c>
    </row>
    <row r="197" spans="2:12">
      <c r="B197" s="73">
        <f>IF(FacilitySchedule[[#This Row],[Active]]=TRUE,1,0)</f>
        <v>1</v>
      </c>
      <c r="C197" s="75" t="b">
        <v>1</v>
      </c>
      <c r="D197" s="74" t="s">
        <v>989</v>
      </c>
      <c r="E197" s="76" t="s">
        <v>1216</v>
      </c>
      <c r="F197" s="76"/>
      <c r="G197" s="77">
        <v>43101</v>
      </c>
      <c r="H197" s="77">
        <v>43465</v>
      </c>
      <c r="I197" s="73"/>
      <c r="J197" s="73">
        <v>365</v>
      </c>
      <c r="K197" s="78">
        <v>25</v>
      </c>
      <c r="L197" s="78">
        <v>1723</v>
      </c>
    </row>
    <row r="198" spans="2:12">
      <c r="B198" s="73">
        <f>IF(FacilitySchedule[[#This Row],[Active]]=TRUE,1,0)</f>
        <v>1</v>
      </c>
      <c r="C198" s="75" t="b">
        <v>1</v>
      </c>
      <c r="D198" s="74" t="s">
        <v>989</v>
      </c>
      <c r="E198" s="76" t="s">
        <v>1216</v>
      </c>
      <c r="F198" s="76"/>
      <c r="G198" s="77">
        <v>43466</v>
      </c>
      <c r="H198" s="77">
        <v>43830</v>
      </c>
      <c r="I198" s="73"/>
      <c r="J198" s="73">
        <v>365</v>
      </c>
      <c r="K198" s="78">
        <v>25</v>
      </c>
      <c r="L198" s="78">
        <v>1724</v>
      </c>
    </row>
    <row r="199" spans="2:12">
      <c r="B199" s="73">
        <f>IF(FacilitySchedule[[#This Row],[Active]]=TRUE,1,0)</f>
        <v>1</v>
      </c>
      <c r="C199" s="75" t="b">
        <v>1</v>
      </c>
      <c r="D199" s="74" t="s">
        <v>989</v>
      </c>
      <c r="E199" s="76" t="s">
        <v>1216</v>
      </c>
      <c r="F199" s="76"/>
      <c r="G199" s="77">
        <v>43831</v>
      </c>
      <c r="H199" s="77">
        <v>44196</v>
      </c>
      <c r="I199" s="73"/>
      <c r="J199" s="73">
        <v>365</v>
      </c>
      <c r="K199" s="78">
        <v>25</v>
      </c>
      <c r="L199" s="78">
        <v>1725</v>
      </c>
    </row>
    <row r="200" spans="2:12">
      <c r="B200" s="73">
        <f>IF(FacilitySchedule[[#This Row],[Active]]=TRUE,1,0)</f>
        <v>1</v>
      </c>
      <c r="C200" s="75" t="b">
        <v>1</v>
      </c>
      <c r="D200" s="74" t="s">
        <v>989</v>
      </c>
      <c r="E200" s="76" t="s">
        <v>1024</v>
      </c>
      <c r="F200" s="76"/>
      <c r="G200" s="77">
        <v>44197</v>
      </c>
      <c r="H200" s="77">
        <v>44561</v>
      </c>
      <c r="I200" s="73"/>
      <c r="J200" s="73">
        <v>365</v>
      </c>
      <c r="K200" s="78">
        <v>25</v>
      </c>
      <c r="L200" s="78">
        <v>1726</v>
      </c>
    </row>
    <row r="201" spans="2:12">
      <c r="B201" s="73">
        <f>IF(FacilitySchedule[[#This Row],[Active]]=TRUE,1,0)</f>
        <v>1</v>
      </c>
      <c r="C201" s="75" t="b">
        <v>1</v>
      </c>
      <c r="D201" s="74" t="s">
        <v>958</v>
      </c>
      <c r="E201" s="76" t="s">
        <v>1217</v>
      </c>
      <c r="F201" s="76"/>
      <c r="G201" s="77">
        <v>42736</v>
      </c>
      <c r="H201" s="77">
        <v>43100</v>
      </c>
      <c r="I201" s="73"/>
      <c r="J201" s="73">
        <v>365</v>
      </c>
      <c r="K201" s="78">
        <v>25</v>
      </c>
      <c r="L201" s="78">
        <v>1594</v>
      </c>
    </row>
    <row r="202" spans="2:12">
      <c r="B202" s="73">
        <f>IF(FacilitySchedule[[#This Row],[Active]]=TRUE,1,0)</f>
        <v>1</v>
      </c>
      <c r="C202" s="75" t="b">
        <v>1</v>
      </c>
      <c r="D202" s="74" t="s">
        <v>958</v>
      </c>
      <c r="E202" s="76" t="s">
        <v>1218</v>
      </c>
      <c r="F202" s="76"/>
      <c r="G202" s="77">
        <v>43101</v>
      </c>
      <c r="H202" s="77">
        <v>43465</v>
      </c>
      <c r="I202" s="73"/>
      <c r="J202" s="73">
        <v>365</v>
      </c>
      <c r="K202" s="78">
        <v>25</v>
      </c>
      <c r="L202" s="78">
        <v>1595</v>
      </c>
    </row>
    <row r="203" spans="2:12">
      <c r="B203" s="73">
        <f>IF(FacilitySchedule[[#This Row],[Active]]=TRUE,1,0)</f>
        <v>1</v>
      </c>
      <c r="C203" s="75" t="b">
        <v>1</v>
      </c>
      <c r="D203" s="74" t="s">
        <v>960</v>
      </c>
      <c r="E203" s="76" t="s">
        <v>1219</v>
      </c>
      <c r="F203" s="76"/>
      <c r="G203" s="77">
        <v>42736</v>
      </c>
      <c r="H203" s="77">
        <v>43100</v>
      </c>
      <c r="I203" s="73"/>
      <c r="J203" s="73">
        <v>365</v>
      </c>
      <c r="K203" s="78">
        <v>25</v>
      </c>
      <c r="L203" s="78">
        <v>1596</v>
      </c>
    </row>
    <row r="204" spans="2:12">
      <c r="B204" s="73">
        <f>IF(FacilitySchedule[[#This Row],[Active]]=TRUE,1,0)</f>
        <v>1</v>
      </c>
      <c r="C204" s="75" t="b">
        <v>1</v>
      </c>
      <c r="D204" s="74" t="s">
        <v>961</v>
      </c>
      <c r="E204" s="76" t="s">
        <v>1217</v>
      </c>
      <c r="F204" s="76"/>
      <c r="G204" s="77">
        <v>42736</v>
      </c>
      <c r="H204" s="77">
        <v>43100</v>
      </c>
      <c r="I204" s="73"/>
      <c r="J204" s="73">
        <v>365</v>
      </c>
      <c r="K204" s="78">
        <v>25</v>
      </c>
      <c r="L204" s="78">
        <v>1597</v>
      </c>
    </row>
    <row r="205" spans="2:12">
      <c r="B205" s="73">
        <f>IF(FacilitySchedule[[#This Row],[Active]]=TRUE,1,0)</f>
        <v>1</v>
      </c>
      <c r="C205" s="75" t="b">
        <v>1</v>
      </c>
      <c r="D205" s="74" t="s">
        <v>962</v>
      </c>
      <c r="E205" s="76" t="s">
        <v>1220</v>
      </c>
      <c r="F205" s="76"/>
      <c r="G205" s="77">
        <v>42736</v>
      </c>
      <c r="H205" s="77">
        <v>43100</v>
      </c>
      <c r="I205" s="73"/>
      <c r="J205" s="73">
        <v>365</v>
      </c>
      <c r="K205" s="78">
        <v>25</v>
      </c>
      <c r="L205" s="78">
        <v>1598</v>
      </c>
    </row>
    <row r="206" spans="2:12">
      <c r="B206" s="73">
        <f>IF(FacilitySchedule[[#This Row],[Active]]=TRUE,1,0)</f>
        <v>1</v>
      </c>
      <c r="C206" s="75" t="b">
        <v>1</v>
      </c>
      <c r="D206" s="74" t="s">
        <v>963</v>
      </c>
      <c r="E206" s="76" t="s">
        <v>1220</v>
      </c>
      <c r="F206" s="76"/>
      <c r="G206" s="77">
        <v>42736</v>
      </c>
      <c r="H206" s="77">
        <v>43100</v>
      </c>
      <c r="I206" s="73"/>
      <c r="J206" s="73">
        <v>365</v>
      </c>
      <c r="K206" s="78">
        <v>25</v>
      </c>
      <c r="L206" s="78">
        <v>1599</v>
      </c>
    </row>
    <row r="207" spans="2:12">
      <c r="B207" s="73">
        <f>IF(FacilitySchedule[[#This Row],[Active]]=TRUE,1,0)</f>
        <v>1</v>
      </c>
      <c r="C207" s="75" t="b">
        <v>1</v>
      </c>
      <c r="D207" s="74" t="s">
        <v>964</v>
      </c>
      <c r="E207" s="76" t="s">
        <v>1203</v>
      </c>
      <c r="F207" s="76"/>
      <c r="G207" s="77">
        <v>42736</v>
      </c>
      <c r="H207" s="77">
        <v>43100</v>
      </c>
      <c r="I207" s="73"/>
      <c r="J207" s="73">
        <v>365</v>
      </c>
      <c r="K207" s="78">
        <v>25</v>
      </c>
      <c r="L207" s="78">
        <v>1600</v>
      </c>
    </row>
    <row r="208" spans="2:12">
      <c r="B208" s="73">
        <f>IF(FacilitySchedule[[#This Row],[Active]]=TRUE,1,0)</f>
        <v>1</v>
      </c>
      <c r="C208" s="75" t="b">
        <v>1</v>
      </c>
      <c r="D208" s="74" t="s">
        <v>965</v>
      </c>
      <c r="E208" s="76" t="s">
        <v>1209</v>
      </c>
      <c r="F208" s="76"/>
      <c r="G208" s="77">
        <v>42736</v>
      </c>
      <c r="H208" s="77">
        <v>43100</v>
      </c>
      <c r="I208" s="73"/>
      <c r="J208" s="73">
        <v>365</v>
      </c>
      <c r="K208" s="78">
        <v>25</v>
      </c>
      <c r="L208" s="78">
        <v>1601</v>
      </c>
    </row>
    <row r="209" spans="2:12">
      <c r="B209" s="73">
        <f>IF(FacilitySchedule[[#This Row],[Active]]=TRUE,1,0)</f>
        <v>1</v>
      </c>
      <c r="C209" s="75" t="b">
        <v>1</v>
      </c>
      <c r="D209" s="74" t="s">
        <v>967</v>
      </c>
      <c r="E209" s="76" t="s">
        <v>1221</v>
      </c>
      <c r="F209" s="76"/>
      <c r="G209" s="77">
        <v>42736</v>
      </c>
      <c r="H209" s="77">
        <v>43100</v>
      </c>
      <c r="I209" s="73"/>
      <c r="J209" s="73">
        <v>365</v>
      </c>
      <c r="K209" s="78">
        <v>25</v>
      </c>
      <c r="L209" s="78">
        <v>1602</v>
      </c>
    </row>
    <row r="210" spans="2:12">
      <c r="B210" s="73">
        <f>IF(FacilitySchedule[[#This Row],[Active]]=TRUE,1,0)</f>
        <v>1</v>
      </c>
      <c r="C210" s="75" t="b">
        <v>1</v>
      </c>
      <c r="D210" s="74" t="s">
        <v>969</v>
      </c>
      <c r="E210" s="76" t="s">
        <v>1222</v>
      </c>
      <c r="F210" s="76"/>
      <c r="G210" s="77">
        <v>42736</v>
      </c>
      <c r="H210" s="77">
        <v>43100</v>
      </c>
      <c r="I210" s="73"/>
      <c r="J210" s="73">
        <v>365</v>
      </c>
      <c r="K210" s="78">
        <v>25</v>
      </c>
      <c r="L210" s="78">
        <v>1603</v>
      </c>
    </row>
    <row r="211" spans="2:12">
      <c r="B211" s="73">
        <f>IF(FacilitySchedule[[#This Row],[Active]]=TRUE,1,0)</f>
        <v>1</v>
      </c>
      <c r="C211" s="75" t="b">
        <v>1</v>
      </c>
      <c r="D211" s="74" t="s">
        <v>971</v>
      </c>
      <c r="E211" s="76" t="s">
        <v>1209</v>
      </c>
      <c r="F211" s="76"/>
      <c r="G211" s="77">
        <v>42736</v>
      </c>
      <c r="H211" s="77">
        <v>43100</v>
      </c>
      <c r="I211" s="73"/>
      <c r="J211" s="73">
        <v>365</v>
      </c>
      <c r="K211" s="78">
        <v>25</v>
      </c>
      <c r="L211" s="78">
        <v>1604</v>
      </c>
    </row>
    <row r="212" spans="2:12">
      <c r="B212" s="73">
        <f>IF(FacilitySchedule[[#This Row],[Active]]=TRUE,1,0)</f>
        <v>1</v>
      </c>
      <c r="C212" s="75" t="b">
        <v>1</v>
      </c>
      <c r="D212" s="74" t="s">
        <v>972</v>
      </c>
      <c r="E212" s="76" t="s">
        <v>1204</v>
      </c>
      <c r="F212" s="76"/>
      <c r="G212" s="77">
        <v>42736</v>
      </c>
      <c r="H212" s="77">
        <v>43100</v>
      </c>
      <c r="I212" s="73"/>
      <c r="J212" s="73">
        <v>365</v>
      </c>
      <c r="K212" s="78">
        <v>25</v>
      </c>
      <c r="L212" s="78">
        <v>1605</v>
      </c>
    </row>
    <row r="213" spans="2:12">
      <c r="B213" s="73">
        <f>IF(FacilitySchedule[[#This Row],[Active]]=TRUE,1,0)</f>
        <v>1</v>
      </c>
      <c r="C213" s="75" t="b">
        <v>1</v>
      </c>
      <c r="D213" s="74" t="s">
        <v>974</v>
      </c>
      <c r="E213" s="76" t="s">
        <v>1062</v>
      </c>
      <c r="F213" s="76"/>
      <c r="G213" s="77">
        <v>42736</v>
      </c>
      <c r="H213" s="77">
        <v>43100</v>
      </c>
      <c r="I213" s="73"/>
      <c r="J213" s="73">
        <v>365</v>
      </c>
      <c r="K213" s="78">
        <v>25</v>
      </c>
      <c r="L213" s="78">
        <v>1606</v>
      </c>
    </row>
    <row r="214" spans="2:12">
      <c r="B214" s="73">
        <f>IF(FacilitySchedule[[#This Row],[Active]]=TRUE,1,0)</f>
        <v>1</v>
      </c>
      <c r="C214" s="75" t="b">
        <v>1</v>
      </c>
      <c r="D214" s="74" t="s">
        <v>978</v>
      </c>
      <c r="E214" s="76" t="s">
        <v>1062</v>
      </c>
      <c r="F214" s="76"/>
      <c r="G214" s="77">
        <v>42736</v>
      </c>
      <c r="H214" s="77">
        <v>43100</v>
      </c>
      <c r="I214" s="73"/>
      <c r="J214" s="73">
        <v>365</v>
      </c>
      <c r="K214" s="78">
        <v>25</v>
      </c>
      <c r="L214" s="78">
        <v>1607</v>
      </c>
    </row>
    <row r="215" spans="2:12">
      <c r="B215" s="73">
        <f>IF(FacilitySchedule[[#This Row],[Active]]=TRUE,1,0)</f>
        <v>1</v>
      </c>
      <c r="C215" s="75" t="b">
        <v>1</v>
      </c>
      <c r="D215" s="74" t="s">
        <v>979</v>
      </c>
      <c r="E215" s="76" t="s">
        <v>1062</v>
      </c>
      <c r="F215" s="76"/>
      <c r="G215" s="77">
        <v>42736</v>
      </c>
      <c r="H215" s="77">
        <v>43100</v>
      </c>
      <c r="I215" s="73"/>
      <c r="J215" s="73">
        <v>365</v>
      </c>
      <c r="K215" s="78">
        <v>25</v>
      </c>
      <c r="L215" s="78">
        <v>1608</v>
      </c>
    </row>
    <row r="216" spans="2:12">
      <c r="B216" s="73">
        <f>IF(FacilitySchedule[[#This Row],[Active]]=TRUE,1,0)</f>
        <v>1</v>
      </c>
      <c r="C216" s="75" t="b">
        <v>1</v>
      </c>
      <c r="D216" s="74" t="s">
        <v>980</v>
      </c>
      <c r="E216" s="76" t="s">
        <v>1207</v>
      </c>
      <c r="F216" s="76"/>
      <c r="G216" s="77">
        <v>43831</v>
      </c>
      <c r="H216" s="77">
        <v>44196</v>
      </c>
      <c r="I216" s="73"/>
      <c r="J216" s="73">
        <v>365</v>
      </c>
      <c r="K216" s="78">
        <v>25</v>
      </c>
      <c r="L216" s="78">
        <v>1609</v>
      </c>
    </row>
    <row r="217" spans="2:12">
      <c r="B217" s="73">
        <f>IF(FacilitySchedule[[#This Row],[Active]]=TRUE,1,0)</f>
        <v>1</v>
      </c>
      <c r="C217" s="75" t="b">
        <v>1</v>
      </c>
      <c r="D217" s="74" t="s">
        <v>981</v>
      </c>
      <c r="E217" s="76" t="s">
        <v>1223</v>
      </c>
      <c r="F217" s="76"/>
      <c r="G217" s="77">
        <v>42736</v>
      </c>
      <c r="H217" s="77">
        <v>43100</v>
      </c>
      <c r="I217" s="73"/>
      <c r="J217" s="73">
        <v>365</v>
      </c>
      <c r="K217" s="78">
        <v>25</v>
      </c>
      <c r="L217" s="78">
        <v>1610</v>
      </c>
    </row>
    <row r="218" spans="2:12">
      <c r="B218" s="73">
        <f>IF(FacilitySchedule[[#This Row],[Active]]=TRUE,1,0)</f>
        <v>1</v>
      </c>
      <c r="C218" s="75" t="b">
        <v>1</v>
      </c>
      <c r="D218" s="74" t="s">
        <v>1000</v>
      </c>
      <c r="E218" s="76" t="s">
        <v>1208</v>
      </c>
      <c r="F218" s="76"/>
      <c r="G218" s="77">
        <v>42736</v>
      </c>
      <c r="H218" s="77">
        <v>43100</v>
      </c>
      <c r="I218" s="73"/>
      <c r="J218" s="73">
        <v>365</v>
      </c>
      <c r="K218" s="78">
        <v>25</v>
      </c>
      <c r="L218" s="78">
        <v>1623</v>
      </c>
    </row>
    <row r="219" spans="2:12">
      <c r="B219" s="73">
        <f>IF(FacilitySchedule[[#This Row],[Active]]=TRUE,1,0)</f>
        <v>1</v>
      </c>
      <c r="C219" s="75" t="b">
        <v>1</v>
      </c>
      <c r="D219" s="74" t="s">
        <v>958</v>
      </c>
      <c r="E219" s="76" t="s">
        <v>1222</v>
      </c>
      <c r="F219" s="76"/>
      <c r="G219" s="77">
        <v>43466</v>
      </c>
      <c r="H219" s="77">
        <v>43830</v>
      </c>
      <c r="I219" s="73"/>
      <c r="J219" s="73">
        <v>365</v>
      </c>
      <c r="K219" s="78">
        <v>25</v>
      </c>
      <c r="L219" s="78">
        <v>1624</v>
      </c>
    </row>
    <row r="220" spans="2:12">
      <c r="B220" s="73">
        <f>IF(FacilitySchedule[[#This Row],[Active]]=TRUE,1,0)</f>
        <v>1</v>
      </c>
      <c r="C220" s="75" t="b">
        <v>1</v>
      </c>
      <c r="D220" s="74" t="s">
        <v>958</v>
      </c>
      <c r="E220" s="76" t="s">
        <v>1224</v>
      </c>
      <c r="F220" s="76"/>
      <c r="G220" s="77">
        <v>43831</v>
      </c>
      <c r="H220" s="77">
        <v>44196</v>
      </c>
      <c r="I220" s="73"/>
      <c r="J220" s="73">
        <v>365</v>
      </c>
      <c r="K220" s="78">
        <v>25</v>
      </c>
      <c r="L220" s="78">
        <v>1625</v>
      </c>
    </row>
    <row r="221" spans="2:12">
      <c r="B221" s="73">
        <f>IF(FacilitySchedule[[#This Row],[Active]]=TRUE,1,0)</f>
        <v>1</v>
      </c>
      <c r="C221" s="75" t="b">
        <v>1</v>
      </c>
      <c r="D221" s="74" t="s">
        <v>958</v>
      </c>
      <c r="E221" s="76" t="s">
        <v>1225</v>
      </c>
      <c r="F221" s="76"/>
      <c r="G221" s="77">
        <v>44197</v>
      </c>
      <c r="H221" s="77">
        <v>44561</v>
      </c>
      <c r="I221" s="73"/>
      <c r="J221" s="73">
        <v>365</v>
      </c>
      <c r="K221" s="78">
        <v>25</v>
      </c>
      <c r="L221" s="78">
        <v>1626</v>
      </c>
    </row>
    <row r="222" spans="2:12">
      <c r="B222" s="73">
        <f>IF(FacilitySchedule[[#This Row],[Active]]=TRUE,1,0)</f>
        <v>1</v>
      </c>
      <c r="C222" s="75" t="b">
        <v>1</v>
      </c>
      <c r="D222" s="74" t="s">
        <v>958</v>
      </c>
      <c r="E222" s="76" t="s">
        <v>1226</v>
      </c>
      <c r="F222" s="76"/>
      <c r="G222" s="77">
        <v>44562</v>
      </c>
      <c r="H222" s="77">
        <v>44926</v>
      </c>
      <c r="I222" s="73"/>
      <c r="J222" s="73">
        <v>365</v>
      </c>
      <c r="K222" s="78">
        <v>25</v>
      </c>
      <c r="L222" s="78">
        <v>1627</v>
      </c>
    </row>
    <row r="223" spans="2:12">
      <c r="B223" s="73">
        <f>IF(FacilitySchedule[[#This Row],[Active]]=TRUE,1,0)</f>
        <v>1</v>
      </c>
      <c r="C223" s="75" t="b">
        <v>1</v>
      </c>
      <c r="D223" s="74" t="s">
        <v>960</v>
      </c>
      <c r="E223" s="76" t="s">
        <v>1227</v>
      </c>
      <c r="F223" s="76"/>
      <c r="G223" s="77">
        <v>43101</v>
      </c>
      <c r="H223" s="77">
        <v>43465</v>
      </c>
      <c r="I223" s="73"/>
      <c r="J223" s="73">
        <v>365</v>
      </c>
      <c r="K223" s="78">
        <v>25</v>
      </c>
      <c r="L223" s="78">
        <v>1628</v>
      </c>
    </row>
    <row r="224" spans="2:12">
      <c r="B224" s="73">
        <f>IF(FacilitySchedule[[#This Row],[Active]]=TRUE,1,0)</f>
        <v>1</v>
      </c>
      <c r="C224" s="75" t="b">
        <v>1</v>
      </c>
      <c r="D224" s="74" t="s">
        <v>960</v>
      </c>
      <c r="E224" s="76" t="s">
        <v>1228</v>
      </c>
      <c r="F224" s="76"/>
      <c r="G224" s="77">
        <v>43466</v>
      </c>
      <c r="H224" s="77">
        <v>43830</v>
      </c>
      <c r="I224" s="73"/>
      <c r="J224" s="73">
        <v>365</v>
      </c>
      <c r="K224" s="78">
        <v>25</v>
      </c>
      <c r="L224" s="78">
        <v>1629</v>
      </c>
    </row>
    <row r="225" spans="2:12">
      <c r="B225" s="73">
        <f>IF(FacilitySchedule[[#This Row],[Active]]=TRUE,1,0)</f>
        <v>1</v>
      </c>
      <c r="C225" s="75" t="b">
        <v>1</v>
      </c>
      <c r="D225" s="74" t="s">
        <v>960</v>
      </c>
      <c r="E225" s="76" t="s">
        <v>1229</v>
      </c>
      <c r="F225" s="76"/>
      <c r="G225" s="77">
        <v>43831</v>
      </c>
      <c r="H225" s="77">
        <v>44196</v>
      </c>
      <c r="I225" s="73"/>
      <c r="J225" s="73">
        <v>365</v>
      </c>
      <c r="K225" s="78">
        <v>25</v>
      </c>
      <c r="L225" s="78">
        <v>1630</v>
      </c>
    </row>
    <row r="226" spans="2:12">
      <c r="B226" s="73">
        <f>IF(FacilitySchedule[[#This Row],[Active]]=TRUE,1,0)</f>
        <v>1</v>
      </c>
      <c r="C226" s="75" t="b">
        <v>1</v>
      </c>
      <c r="D226" s="74" t="s">
        <v>960</v>
      </c>
      <c r="E226" s="76" t="s">
        <v>1230</v>
      </c>
      <c r="F226" s="76"/>
      <c r="G226" s="77">
        <v>44197</v>
      </c>
      <c r="H226" s="77">
        <v>44561</v>
      </c>
      <c r="I226" s="73"/>
      <c r="J226" s="73">
        <v>365</v>
      </c>
      <c r="K226" s="78">
        <v>25</v>
      </c>
      <c r="L226" s="78">
        <v>1631</v>
      </c>
    </row>
    <row r="227" spans="2:12">
      <c r="B227" s="73">
        <f>IF(FacilitySchedule[[#This Row],[Active]]=TRUE,1,0)</f>
        <v>1</v>
      </c>
      <c r="C227" s="75" t="b">
        <v>1</v>
      </c>
      <c r="D227" s="74" t="s">
        <v>960</v>
      </c>
      <c r="E227" s="76" t="s">
        <v>1230</v>
      </c>
      <c r="F227" s="76"/>
      <c r="G227" s="77">
        <v>44562</v>
      </c>
      <c r="H227" s="77">
        <v>44926</v>
      </c>
      <c r="I227" s="73"/>
      <c r="J227" s="73">
        <v>365</v>
      </c>
      <c r="K227" s="78">
        <v>25</v>
      </c>
      <c r="L227" s="78">
        <v>1632</v>
      </c>
    </row>
    <row r="228" spans="2:12">
      <c r="B228" s="73">
        <f>IF(FacilitySchedule[[#This Row],[Active]]=TRUE,1,0)</f>
        <v>1</v>
      </c>
      <c r="C228" s="75" t="b">
        <v>1</v>
      </c>
      <c r="D228" s="74" t="s">
        <v>961</v>
      </c>
      <c r="E228" s="76" t="s">
        <v>1218</v>
      </c>
      <c r="F228" s="76"/>
      <c r="G228" s="77">
        <v>43101</v>
      </c>
      <c r="H228" s="77">
        <v>43465</v>
      </c>
      <c r="I228" s="73"/>
      <c r="J228" s="73">
        <v>365</v>
      </c>
      <c r="K228" s="78">
        <v>25</v>
      </c>
      <c r="L228" s="78">
        <v>1633</v>
      </c>
    </row>
    <row r="229" spans="2:12">
      <c r="B229" s="73">
        <f>IF(FacilitySchedule[[#This Row],[Active]]=TRUE,1,0)</f>
        <v>1</v>
      </c>
      <c r="C229" s="75" t="b">
        <v>1</v>
      </c>
      <c r="D229" s="74" t="s">
        <v>961</v>
      </c>
      <c r="E229" s="76" t="s">
        <v>1222</v>
      </c>
      <c r="F229" s="76"/>
      <c r="G229" s="77">
        <v>43466</v>
      </c>
      <c r="H229" s="77">
        <v>43830</v>
      </c>
      <c r="I229" s="73"/>
      <c r="J229" s="73">
        <v>365</v>
      </c>
      <c r="K229" s="78">
        <v>25</v>
      </c>
      <c r="L229" s="78">
        <v>1634</v>
      </c>
    </row>
    <row r="230" spans="2:12">
      <c r="B230" s="73">
        <f>IF(FacilitySchedule[[#This Row],[Active]]=TRUE,1,0)</f>
        <v>1</v>
      </c>
      <c r="C230" s="75" t="b">
        <v>1</v>
      </c>
      <c r="D230" s="74" t="s">
        <v>961</v>
      </c>
      <c r="E230" s="76" t="s">
        <v>1224</v>
      </c>
      <c r="F230" s="76"/>
      <c r="G230" s="77">
        <v>43831</v>
      </c>
      <c r="H230" s="77">
        <v>44196</v>
      </c>
      <c r="I230" s="73"/>
      <c r="J230" s="73">
        <v>365</v>
      </c>
      <c r="K230" s="78">
        <v>25</v>
      </c>
      <c r="L230" s="78">
        <v>1635</v>
      </c>
    </row>
    <row r="231" spans="2:12">
      <c r="B231" s="73">
        <f>IF(FacilitySchedule[[#This Row],[Active]]=TRUE,1,0)</f>
        <v>1</v>
      </c>
      <c r="C231" s="75" t="b">
        <v>1</v>
      </c>
      <c r="D231" s="74" t="s">
        <v>961</v>
      </c>
      <c r="E231" s="76" t="s">
        <v>1225</v>
      </c>
      <c r="F231" s="76"/>
      <c r="G231" s="77">
        <v>44197</v>
      </c>
      <c r="H231" s="77">
        <v>44561</v>
      </c>
      <c r="I231" s="73"/>
      <c r="J231" s="73">
        <v>365</v>
      </c>
      <c r="K231" s="78">
        <v>25</v>
      </c>
      <c r="L231" s="78">
        <v>1636</v>
      </c>
    </row>
    <row r="232" spans="2:12">
      <c r="B232" s="73">
        <f>IF(FacilitySchedule[[#This Row],[Active]]=TRUE,1,0)</f>
        <v>1</v>
      </c>
      <c r="C232" s="75" t="b">
        <v>1</v>
      </c>
      <c r="D232" s="74" t="s">
        <v>961</v>
      </c>
      <c r="E232" s="76" t="s">
        <v>1226</v>
      </c>
      <c r="F232" s="76"/>
      <c r="G232" s="77">
        <v>44562</v>
      </c>
      <c r="H232" s="77">
        <v>44926</v>
      </c>
      <c r="I232" s="73"/>
      <c r="J232" s="73">
        <v>365</v>
      </c>
      <c r="K232" s="78">
        <v>25</v>
      </c>
      <c r="L232" s="78">
        <v>1637</v>
      </c>
    </row>
    <row r="233" spans="2:12">
      <c r="B233" s="73">
        <f>IF(FacilitySchedule[[#This Row],[Active]]=TRUE,1,0)</f>
        <v>1</v>
      </c>
      <c r="C233" s="75" t="b">
        <v>1</v>
      </c>
      <c r="D233" s="74" t="s">
        <v>962</v>
      </c>
      <c r="E233" s="76" t="s">
        <v>1206</v>
      </c>
      <c r="F233" s="76"/>
      <c r="G233" s="77">
        <v>43101</v>
      </c>
      <c r="H233" s="77">
        <v>43465</v>
      </c>
      <c r="I233" s="73"/>
      <c r="J233" s="73">
        <v>365</v>
      </c>
      <c r="K233" s="78">
        <v>25</v>
      </c>
      <c r="L233" s="78">
        <v>1638</v>
      </c>
    </row>
    <row r="234" spans="2:12">
      <c r="B234" s="73">
        <f>IF(FacilitySchedule[[#This Row],[Active]]=TRUE,1,0)</f>
        <v>1</v>
      </c>
      <c r="C234" s="75" t="b">
        <v>1</v>
      </c>
      <c r="D234" s="74" t="s">
        <v>962</v>
      </c>
      <c r="E234" s="76" t="s">
        <v>1206</v>
      </c>
      <c r="F234" s="76"/>
      <c r="G234" s="77">
        <v>43466</v>
      </c>
      <c r="H234" s="77">
        <v>43830</v>
      </c>
      <c r="I234" s="73"/>
      <c r="J234" s="73">
        <v>365</v>
      </c>
      <c r="K234" s="78">
        <v>25</v>
      </c>
      <c r="L234" s="78">
        <v>1639</v>
      </c>
    </row>
    <row r="235" spans="2:12">
      <c r="B235" s="73">
        <f>IF(FacilitySchedule[[#This Row],[Active]]=TRUE,1,0)</f>
        <v>1</v>
      </c>
      <c r="C235" s="75" t="b">
        <v>1</v>
      </c>
      <c r="D235" s="74" t="s">
        <v>962</v>
      </c>
      <c r="E235" s="76" t="s">
        <v>1231</v>
      </c>
      <c r="F235" s="76"/>
      <c r="G235" s="77">
        <v>43831</v>
      </c>
      <c r="H235" s="77">
        <v>44196</v>
      </c>
      <c r="I235" s="73"/>
      <c r="J235" s="73">
        <v>365</v>
      </c>
      <c r="K235" s="78">
        <v>25</v>
      </c>
      <c r="L235" s="78">
        <v>1640</v>
      </c>
    </row>
    <row r="236" spans="2:12">
      <c r="B236" s="73">
        <f>IF(FacilitySchedule[[#This Row],[Active]]=TRUE,1,0)</f>
        <v>1</v>
      </c>
      <c r="C236" s="75" t="b">
        <v>1</v>
      </c>
      <c r="D236" s="74" t="s">
        <v>962</v>
      </c>
      <c r="E236" s="76" t="s">
        <v>1232</v>
      </c>
      <c r="F236" s="76"/>
      <c r="G236" s="77">
        <v>44197</v>
      </c>
      <c r="H236" s="77">
        <v>44561</v>
      </c>
      <c r="I236" s="73"/>
      <c r="J236" s="73">
        <v>365</v>
      </c>
      <c r="K236" s="78">
        <v>25</v>
      </c>
      <c r="L236" s="78">
        <v>1641</v>
      </c>
    </row>
    <row r="237" spans="2:12">
      <c r="B237" s="73">
        <f>IF(FacilitySchedule[[#This Row],[Active]]=TRUE,1,0)</f>
        <v>1</v>
      </c>
      <c r="C237" s="75" t="b">
        <v>1</v>
      </c>
      <c r="D237" s="74" t="s">
        <v>962</v>
      </c>
      <c r="E237" s="76" t="s">
        <v>1233</v>
      </c>
      <c r="F237" s="76"/>
      <c r="G237" s="77">
        <v>44562</v>
      </c>
      <c r="H237" s="77">
        <v>44926</v>
      </c>
      <c r="I237" s="73"/>
      <c r="J237" s="73">
        <v>365</v>
      </c>
      <c r="K237" s="78">
        <v>25</v>
      </c>
      <c r="L237" s="78">
        <v>1642</v>
      </c>
    </row>
    <row r="238" spans="2:12">
      <c r="B238" s="73">
        <f>IF(FacilitySchedule[[#This Row],[Active]]=TRUE,1,0)</f>
        <v>1</v>
      </c>
      <c r="C238" s="75" t="b">
        <v>1</v>
      </c>
      <c r="D238" s="74" t="s">
        <v>963</v>
      </c>
      <c r="E238" s="76" t="s">
        <v>1220</v>
      </c>
      <c r="F238" s="76"/>
      <c r="G238" s="77">
        <v>43101</v>
      </c>
      <c r="H238" s="77">
        <v>43465</v>
      </c>
      <c r="I238" s="73"/>
      <c r="J238" s="73">
        <v>365</v>
      </c>
      <c r="K238" s="78">
        <v>25</v>
      </c>
      <c r="L238" s="78">
        <v>1643</v>
      </c>
    </row>
    <row r="239" spans="2:12">
      <c r="B239" s="73">
        <f>IF(FacilitySchedule[[#This Row],[Active]]=TRUE,1,0)</f>
        <v>1</v>
      </c>
      <c r="C239" s="75" t="b">
        <v>1</v>
      </c>
      <c r="D239" s="74" t="s">
        <v>963</v>
      </c>
      <c r="E239" s="76" t="s">
        <v>1220</v>
      </c>
      <c r="F239" s="76"/>
      <c r="G239" s="77">
        <v>43466</v>
      </c>
      <c r="H239" s="77">
        <v>43830</v>
      </c>
      <c r="I239" s="73"/>
      <c r="J239" s="73">
        <v>365</v>
      </c>
      <c r="K239" s="78">
        <v>25</v>
      </c>
      <c r="L239" s="78">
        <v>1644</v>
      </c>
    </row>
    <row r="240" spans="2:12">
      <c r="B240" s="73">
        <f>IF(FacilitySchedule[[#This Row],[Active]]=TRUE,1,0)</f>
        <v>1</v>
      </c>
      <c r="C240" s="75" t="b">
        <v>1</v>
      </c>
      <c r="D240" s="74" t="s">
        <v>963</v>
      </c>
      <c r="E240" s="76" t="s">
        <v>1220</v>
      </c>
      <c r="F240" s="76"/>
      <c r="G240" s="77">
        <v>43831</v>
      </c>
      <c r="H240" s="77">
        <v>44196</v>
      </c>
      <c r="I240" s="73"/>
      <c r="J240" s="73">
        <v>365</v>
      </c>
      <c r="K240" s="78">
        <v>25</v>
      </c>
      <c r="L240" s="78">
        <v>1645</v>
      </c>
    </row>
    <row r="241" spans="2:12">
      <c r="B241" s="73">
        <f>IF(FacilitySchedule[[#This Row],[Active]]=TRUE,1,0)</f>
        <v>1</v>
      </c>
      <c r="C241" s="75" t="b">
        <v>1</v>
      </c>
      <c r="D241" s="74" t="s">
        <v>963</v>
      </c>
      <c r="E241" s="76" t="s">
        <v>1220</v>
      </c>
      <c r="F241" s="76"/>
      <c r="G241" s="77">
        <v>44197</v>
      </c>
      <c r="H241" s="77">
        <v>44561</v>
      </c>
      <c r="I241" s="73"/>
      <c r="J241" s="73">
        <v>365</v>
      </c>
      <c r="K241" s="78">
        <v>25</v>
      </c>
      <c r="L241" s="78">
        <v>1646</v>
      </c>
    </row>
    <row r="242" spans="2:12">
      <c r="B242" s="73">
        <f>IF(FacilitySchedule[[#This Row],[Active]]=TRUE,1,0)</f>
        <v>1</v>
      </c>
      <c r="C242" s="75" t="b">
        <v>1</v>
      </c>
      <c r="D242" s="74" t="s">
        <v>963</v>
      </c>
      <c r="E242" s="76" t="s">
        <v>1231</v>
      </c>
      <c r="F242" s="76"/>
      <c r="G242" s="77">
        <v>44562</v>
      </c>
      <c r="H242" s="77">
        <v>44926</v>
      </c>
      <c r="I242" s="73"/>
      <c r="J242" s="73">
        <v>365</v>
      </c>
      <c r="K242" s="78">
        <v>25</v>
      </c>
      <c r="L242" s="78">
        <v>1647</v>
      </c>
    </row>
    <row r="243" spans="2:12">
      <c r="B243" s="73">
        <f>IF(FacilitySchedule[[#This Row],[Active]]=TRUE,1,0)</f>
        <v>1</v>
      </c>
      <c r="C243" s="75" t="b">
        <v>1</v>
      </c>
      <c r="D243" s="74" t="s">
        <v>964</v>
      </c>
      <c r="E243" s="76" t="s">
        <v>1216</v>
      </c>
      <c r="F243" s="76"/>
      <c r="G243" s="77">
        <v>43101</v>
      </c>
      <c r="H243" s="77">
        <v>43465</v>
      </c>
      <c r="I243" s="73"/>
      <c r="J243" s="73">
        <v>365</v>
      </c>
      <c r="K243" s="78">
        <v>25</v>
      </c>
      <c r="L243" s="78">
        <v>1648</v>
      </c>
    </row>
    <row r="244" spans="2:12">
      <c r="B244" s="73">
        <f>IF(FacilitySchedule[[#This Row],[Active]]=TRUE,1,0)</f>
        <v>1</v>
      </c>
      <c r="C244" s="75" t="b">
        <v>1</v>
      </c>
      <c r="D244" s="74" t="s">
        <v>964</v>
      </c>
      <c r="E244" s="76" t="s">
        <v>1216</v>
      </c>
      <c r="F244" s="76"/>
      <c r="G244" s="77">
        <v>43466</v>
      </c>
      <c r="H244" s="77">
        <v>43830</v>
      </c>
      <c r="I244" s="73"/>
      <c r="J244" s="73">
        <v>365</v>
      </c>
      <c r="K244" s="78">
        <v>25</v>
      </c>
      <c r="L244" s="78">
        <v>1649</v>
      </c>
    </row>
    <row r="245" spans="2:12">
      <c r="B245" s="73">
        <f>IF(FacilitySchedule[[#This Row],[Active]]=TRUE,1,0)</f>
        <v>1</v>
      </c>
      <c r="C245" s="75" t="b">
        <v>1</v>
      </c>
      <c r="D245" s="74" t="s">
        <v>964</v>
      </c>
      <c r="E245" s="76" t="s">
        <v>1216</v>
      </c>
      <c r="F245" s="76"/>
      <c r="G245" s="77">
        <v>43831</v>
      </c>
      <c r="H245" s="77">
        <v>44196</v>
      </c>
      <c r="I245" s="73"/>
      <c r="J245" s="73">
        <v>365</v>
      </c>
      <c r="K245" s="78">
        <v>25</v>
      </c>
      <c r="L245" s="78">
        <v>1650</v>
      </c>
    </row>
    <row r="246" spans="2:12">
      <c r="B246" s="73">
        <f>IF(FacilitySchedule[[#This Row],[Active]]=TRUE,1,0)</f>
        <v>1</v>
      </c>
      <c r="C246" s="75" t="b">
        <v>1</v>
      </c>
      <c r="D246" s="74" t="s">
        <v>964</v>
      </c>
      <c r="E246" s="76" t="s">
        <v>1024</v>
      </c>
      <c r="F246" s="76"/>
      <c r="G246" s="77">
        <v>44197</v>
      </c>
      <c r="H246" s="77">
        <v>44561</v>
      </c>
      <c r="I246" s="73"/>
      <c r="J246" s="73">
        <v>365</v>
      </c>
      <c r="K246" s="78">
        <v>25</v>
      </c>
      <c r="L246" s="78">
        <v>1651</v>
      </c>
    </row>
    <row r="247" spans="2:12">
      <c r="B247" s="73">
        <f>IF(FacilitySchedule[[#This Row],[Active]]=TRUE,1,0)</f>
        <v>1</v>
      </c>
      <c r="C247" s="75" t="b">
        <v>1</v>
      </c>
      <c r="D247" s="74" t="s">
        <v>964</v>
      </c>
      <c r="E247" s="76" t="s">
        <v>1062</v>
      </c>
      <c r="F247" s="76"/>
      <c r="G247" s="77">
        <v>44562</v>
      </c>
      <c r="H247" s="77">
        <v>44926</v>
      </c>
      <c r="I247" s="73"/>
      <c r="J247" s="73">
        <v>365</v>
      </c>
      <c r="K247" s="78">
        <v>25</v>
      </c>
      <c r="L247" s="78">
        <v>1652</v>
      </c>
    </row>
    <row r="248" spans="2:12">
      <c r="B248" s="73">
        <f>IF(FacilitySchedule[[#This Row],[Active]]=TRUE,1,0)</f>
        <v>1</v>
      </c>
      <c r="C248" s="75" t="b">
        <v>1</v>
      </c>
      <c r="D248" s="74" t="s">
        <v>965</v>
      </c>
      <c r="E248" s="76" t="s">
        <v>1209</v>
      </c>
      <c r="F248" s="76"/>
      <c r="G248" s="77">
        <v>43101</v>
      </c>
      <c r="H248" s="77">
        <v>43465</v>
      </c>
      <c r="I248" s="73"/>
      <c r="J248" s="73">
        <v>365</v>
      </c>
      <c r="K248" s="78">
        <v>25</v>
      </c>
      <c r="L248" s="78">
        <v>1653</v>
      </c>
    </row>
    <row r="249" spans="2:12">
      <c r="B249" s="73">
        <f>IF(FacilitySchedule[[#This Row],[Active]]=TRUE,1,0)</f>
        <v>1</v>
      </c>
      <c r="C249" s="75" t="b">
        <v>1</v>
      </c>
      <c r="D249" s="74" t="s">
        <v>965</v>
      </c>
      <c r="E249" s="76" t="s">
        <v>1209</v>
      </c>
      <c r="F249" s="76"/>
      <c r="G249" s="77">
        <v>43466</v>
      </c>
      <c r="H249" s="77">
        <v>43830</v>
      </c>
      <c r="I249" s="73"/>
      <c r="J249" s="73">
        <v>365</v>
      </c>
      <c r="K249" s="78">
        <v>25</v>
      </c>
      <c r="L249" s="78">
        <v>1654</v>
      </c>
    </row>
    <row r="250" spans="2:12">
      <c r="B250" s="73">
        <f>IF(FacilitySchedule[[#This Row],[Active]]=TRUE,1,0)</f>
        <v>1</v>
      </c>
      <c r="C250" s="75" t="b">
        <v>1</v>
      </c>
      <c r="D250" s="74" t="s">
        <v>965</v>
      </c>
      <c r="E250" s="76" t="s">
        <v>1209</v>
      </c>
      <c r="F250" s="76"/>
      <c r="G250" s="77">
        <v>43831</v>
      </c>
      <c r="H250" s="77">
        <v>44196</v>
      </c>
      <c r="I250" s="73"/>
      <c r="J250" s="73">
        <v>365</v>
      </c>
      <c r="K250" s="78">
        <v>25</v>
      </c>
      <c r="L250" s="78">
        <v>1655</v>
      </c>
    </row>
    <row r="251" spans="2:12">
      <c r="B251" s="73">
        <f>IF(FacilitySchedule[[#This Row],[Active]]=TRUE,1,0)</f>
        <v>1</v>
      </c>
      <c r="C251" s="75" t="b">
        <v>1</v>
      </c>
      <c r="D251" s="74" t="s">
        <v>965</v>
      </c>
      <c r="E251" s="76" t="s">
        <v>700</v>
      </c>
      <c r="F251" s="76"/>
      <c r="G251" s="77">
        <v>44197</v>
      </c>
      <c r="H251" s="77">
        <v>44561</v>
      </c>
      <c r="I251" s="73"/>
      <c r="J251" s="73">
        <v>365</v>
      </c>
      <c r="K251" s="78">
        <v>25</v>
      </c>
      <c r="L251" s="78">
        <v>1656</v>
      </c>
    </row>
    <row r="252" spans="2:12">
      <c r="B252" s="73">
        <f>IF(FacilitySchedule[[#This Row],[Active]]=TRUE,1,0)</f>
        <v>1</v>
      </c>
      <c r="C252" s="75" t="b">
        <v>1</v>
      </c>
      <c r="D252" s="74" t="s">
        <v>965</v>
      </c>
      <c r="E252" s="76" t="s">
        <v>700</v>
      </c>
      <c r="F252" s="76"/>
      <c r="G252" s="77">
        <v>44562</v>
      </c>
      <c r="H252" s="77">
        <v>44926</v>
      </c>
      <c r="I252" s="73"/>
      <c r="J252" s="73">
        <v>365</v>
      </c>
      <c r="K252" s="78">
        <v>25</v>
      </c>
      <c r="L252" s="78">
        <v>1657</v>
      </c>
    </row>
    <row r="253" spans="2:12">
      <c r="B253" s="73">
        <f>IF(FacilitySchedule[[#This Row],[Active]]=TRUE,1,0)</f>
        <v>1</v>
      </c>
      <c r="C253" s="75" t="b">
        <v>1</v>
      </c>
      <c r="D253" s="74" t="s">
        <v>967</v>
      </c>
      <c r="E253" s="76" t="s">
        <v>1234</v>
      </c>
      <c r="F253" s="76"/>
      <c r="G253" s="77">
        <v>43101</v>
      </c>
      <c r="H253" s="77">
        <v>43465</v>
      </c>
      <c r="I253" s="73"/>
      <c r="J253" s="73">
        <v>365</v>
      </c>
      <c r="K253" s="78">
        <v>25</v>
      </c>
      <c r="L253" s="78">
        <v>1658</v>
      </c>
    </row>
    <row r="254" spans="2:12">
      <c r="B254" s="73">
        <f>IF(FacilitySchedule[[#This Row],[Active]]=TRUE,1,0)</f>
        <v>1</v>
      </c>
      <c r="C254" s="75" t="b">
        <v>1</v>
      </c>
      <c r="D254" s="74" t="s">
        <v>967</v>
      </c>
      <c r="E254" s="76" t="s">
        <v>1235</v>
      </c>
      <c r="F254" s="76"/>
      <c r="G254" s="77">
        <v>43466</v>
      </c>
      <c r="H254" s="77">
        <v>43830</v>
      </c>
      <c r="I254" s="73"/>
      <c r="J254" s="73">
        <v>365</v>
      </c>
      <c r="K254" s="78">
        <v>25</v>
      </c>
      <c r="L254" s="78">
        <v>1659</v>
      </c>
    </row>
    <row r="255" spans="2:12">
      <c r="B255" s="73">
        <f>IF(FacilitySchedule[[#This Row],[Active]]=TRUE,1,0)</f>
        <v>1</v>
      </c>
      <c r="C255" s="75" t="b">
        <v>1</v>
      </c>
      <c r="D255" s="74" t="s">
        <v>967</v>
      </c>
      <c r="E255" s="76" t="s">
        <v>1235</v>
      </c>
      <c r="F255" s="76"/>
      <c r="G255" s="77">
        <v>43831</v>
      </c>
      <c r="H255" s="77">
        <v>44196</v>
      </c>
      <c r="I255" s="73"/>
      <c r="J255" s="73">
        <v>365</v>
      </c>
      <c r="K255" s="78">
        <v>25</v>
      </c>
      <c r="L255" s="78">
        <v>1660</v>
      </c>
    </row>
    <row r="256" spans="2:12">
      <c r="B256" s="73">
        <f>IF(FacilitySchedule[[#This Row],[Active]]=TRUE,1,0)</f>
        <v>1</v>
      </c>
      <c r="C256" s="75" t="b">
        <v>1</v>
      </c>
      <c r="D256" s="74" t="s">
        <v>967</v>
      </c>
      <c r="E256" s="76" t="s">
        <v>1235</v>
      </c>
      <c r="F256" s="76"/>
      <c r="G256" s="77">
        <v>44197</v>
      </c>
      <c r="H256" s="77">
        <v>44561</v>
      </c>
      <c r="I256" s="73"/>
      <c r="J256" s="73">
        <v>365</v>
      </c>
      <c r="K256" s="78">
        <v>25</v>
      </c>
      <c r="L256" s="78">
        <v>1661</v>
      </c>
    </row>
    <row r="257" spans="2:12">
      <c r="B257" s="73">
        <f>IF(FacilitySchedule[[#This Row],[Active]]=TRUE,1,0)</f>
        <v>1</v>
      </c>
      <c r="C257" s="75" t="b">
        <v>1</v>
      </c>
      <c r="D257" s="74" t="s">
        <v>967</v>
      </c>
      <c r="E257" s="76" t="s">
        <v>1235</v>
      </c>
      <c r="F257" s="76"/>
      <c r="G257" s="77">
        <v>44562</v>
      </c>
      <c r="H257" s="77">
        <v>44926</v>
      </c>
      <c r="I257" s="73"/>
      <c r="J257" s="73">
        <v>365</v>
      </c>
      <c r="K257" s="78">
        <v>25</v>
      </c>
      <c r="L257" s="78">
        <v>1662</v>
      </c>
    </row>
    <row r="258" spans="2:12">
      <c r="B258" s="73">
        <f>IF(FacilitySchedule[[#This Row],[Active]]=TRUE,1,0)</f>
        <v>1</v>
      </c>
      <c r="C258" s="75" t="b">
        <v>1</v>
      </c>
      <c r="D258" s="74" t="s">
        <v>969</v>
      </c>
      <c r="E258" s="76" t="s">
        <v>1224</v>
      </c>
      <c r="F258" s="76"/>
      <c r="G258" s="77">
        <v>43101</v>
      </c>
      <c r="H258" s="77">
        <v>43465</v>
      </c>
      <c r="I258" s="73"/>
      <c r="J258" s="73">
        <v>365</v>
      </c>
      <c r="K258" s="78">
        <v>25</v>
      </c>
      <c r="L258" s="78">
        <v>1663</v>
      </c>
    </row>
    <row r="259" spans="2:12">
      <c r="B259" s="73">
        <f>IF(FacilitySchedule[[#This Row],[Active]]=TRUE,1,0)</f>
        <v>1</v>
      </c>
      <c r="C259" s="75" t="b">
        <v>1</v>
      </c>
      <c r="D259" s="74" t="s">
        <v>969</v>
      </c>
      <c r="E259" s="76" t="s">
        <v>1225</v>
      </c>
      <c r="F259" s="76"/>
      <c r="G259" s="77">
        <v>43466</v>
      </c>
      <c r="H259" s="77">
        <v>43830</v>
      </c>
      <c r="I259" s="73"/>
      <c r="J259" s="73">
        <v>365</v>
      </c>
      <c r="K259" s="78">
        <v>25</v>
      </c>
      <c r="L259" s="78">
        <v>1664</v>
      </c>
    </row>
    <row r="260" spans="2:12">
      <c r="B260" s="73">
        <f>IF(FacilitySchedule[[#This Row],[Active]]=TRUE,1,0)</f>
        <v>1</v>
      </c>
      <c r="C260" s="75" t="b">
        <v>1</v>
      </c>
      <c r="D260" s="74" t="s">
        <v>969</v>
      </c>
      <c r="E260" s="76" t="s">
        <v>1225</v>
      </c>
      <c r="F260" s="76"/>
      <c r="G260" s="77">
        <v>43831</v>
      </c>
      <c r="H260" s="77">
        <v>44196</v>
      </c>
      <c r="I260" s="73"/>
      <c r="J260" s="73">
        <v>365</v>
      </c>
      <c r="K260" s="78">
        <v>25</v>
      </c>
      <c r="L260" s="78">
        <v>1665</v>
      </c>
    </row>
    <row r="261" spans="2:12">
      <c r="B261" s="73">
        <f>IF(FacilitySchedule[[#This Row],[Active]]=TRUE,1,0)</f>
        <v>1</v>
      </c>
      <c r="C261" s="75" t="b">
        <v>1</v>
      </c>
      <c r="D261" s="74" t="s">
        <v>969</v>
      </c>
      <c r="E261" s="76" t="s">
        <v>1225</v>
      </c>
      <c r="F261" s="76"/>
      <c r="G261" s="77">
        <v>44197</v>
      </c>
      <c r="H261" s="77">
        <v>44561</v>
      </c>
      <c r="I261" s="73"/>
      <c r="J261" s="73">
        <v>365</v>
      </c>
      <c r="K261" s="78">
        <v>25</v>
      </c>
      <c r="L261" s="78">
        <v>1666</v>
      </c>
    </row>
    <row r="262" spans="2:12">
      <c r="B262" s="73">
        <f>IF(FacilitySchedule[[#This Row],[Active]]=TRUE,1,0)</f>
        <v>1</v>
      </c>
      <c r="C262" s="75" t="b">
        <v>1</v>
      </c>
      <c r="D262" s="74" t="s">
        <v>969</v>
      </c>
      <c r="E262" s="76" t="s">
        <v>1225</v>
      </c>
      <c r="F262" s="76"/>
      <c r="G262" s="77">
        <v>44562</v>
      </c>
      <c r="H262" s="77">
        <v>44926</v>
      </c>
      <c r="I262" s="73"/>
      <c r="J262" s="73">
        <v>365</v>
      </c>
      <c r="K262" s="78">
        <v>25</v>
      </c>
      <c r="L262" s="78">
        <v>1667</v>
      </c>
    </row>
    <row r="263" spans="2:12">
      <c r="B263" s="73">
        <f>IF(FacilitySchedule[[#This Row],[Active]]=TRUE,1,0)</f>
        <v>1</v>
      </c>
      <c r="C263" s="75" t="b">
        <v>1</v>
      </c>
      <c r="D263" s="74" t="s">
        <v>989</v>
      </c>
      <c r="E263" s="76" t="s">
        <v>1062</v>
      </c>
      <c r="F263" s="76"/>
      <c r="G263" s="77">
        <v>44562</v>
      </c>
      <c r="H263" s="77">
        <v>44926</v>
      </c>
      <c r="I263" s="73"/>
      <c r="J263" s="73">
        <v>365</v>
      </c>
      <c r="K263" s="78">
        <v>25</v>
      </c>
      <c r="L263" s="78">
        <v>1727</v>
      </c>
    </row>
    <row r="264" spans="2:12">
      <c r="B264" s="73">
        <f>IF(FacilitySchedule[[#This Row],[Active]]=TRUE,1,0)</f>
        <v>1</v>
      </c>
      <c r="C264" s="75" t="b">
        <v>1</v>
      </c>
      <c r="D264" s="74" t="s">
        <v>991</v>
      </c>
      <c r="E264" s="76" t="s">
        <v>1205</v>
      </c>
      <c r="F264" s="76"/>
      <c r="G264" s="77">
        <v>43101</v>
      </c>
      <c r="H264" s="77">
        <v>43465</v>
      </c>
      <c r="I264" s="73"/>
      <c r="J264" s="73">
        <v>365</v>
      </c>
      <c r="K264" s="78">
        <v>25</v>
      </c>
      <c r="L264" s="78">
        <v>1728</v>
      </c>
    </row>
    <row r="265" spans="2:12">
      <c r="B265" s="73">
        <f>IF(FacilitySchedule[[#This Row],[Active]]=TRUE,1,0)</f>
        <v>1</v>
      </c>
      <c r="C265" s="75" t="b">
        <v>1</v>
      </c>
      <c r="D265" s="74" t="s">
        <v>991</v>
      </c>
      <c r="E265" s="76" t="s">
        <v>1205</v>
      </c>
      <c r="F265" s="76"/>
      <c r="G265" s="77">
        <v>43466</v>
      </c>
      <c r="H265" s="77">
        <v>43830</v>
      </c>
      <c r="I265" s="73"/>
      <c r="J265" s="73">
        <v>365</v>
      </c>
      <c r="K265" s="78">
        <v>25</v>
      </c>
      <c r="L265" s="78">
        <v>1729</v>
      </c>
    </row>
    <row r="266" spans="2:12">
      <c r="B266" s="73">
        <f>IF(FacilitySchedule[[#This Row],[Active]]=TRUE,1,0)</f>
        <v>1</v>
      </c>
      <c r="C266" s="75" t="b">
        <v>1</v>
      </c>
      <c r="D266" s="74" t="s">
        <v>991</v>
      </c>
      <c r="E266" s="76" t="s">
        <v>1236</v>
      </c>
      <c r="F266" s="76"/>
      <c r="G266" s="77">
        <v>43831</v>
      </c>
      <c r="H266" s="77">
        <v>44196</v>
      </c>
      <c r="I266" s="73"/>
      <c r="J266" s="73">
        <v>365</v>
      </c>
      <c r="K266" s="78">
        <v>25</v>
      </c>
      <c r="L266" s="78">
        <v>1730</v>
      </c>
    </row>
    <row r="267" spans="2:12">
      <c r="B267" s="73">
        <f>IF(FacilitySchedule[[#This Row],[Active]]=TRUE,1,0)</f>
        <v>1</v>
      </c>
      <c r="C267" s="75" t="b">
        <v>1</v>
      </c>
      <c r="D267" s="74" t="s">
        <v>991</v>
      </c>
      <c r="E267" s="76" t="s">
        <v>1236</v>
      </c>
      <c r="F267" s="76"/>
      <c r="G267" s="77">
        <v>44197</v>
      </c>
      <c r="H267" s="77">
        <v>44561</v>
      </c>
      <c r="I267" s="73"/>
      <c r="J267" s="73">
        <v>365</v>
      </c>
      <c r="K267" s="78">
        <v>25</v>
      </c>
      <c r="L267" s="78">
        <v>1731</v>
      </c>
    </row>
    <row r="268" spans="2:12">
      <c r="B268" s="73">
        <f>IF(FacilitySchedule[[#This Row],[Active]]=TRUE,1,0)</f>
        <v>1</v>
      </c>
      <c r="C268" s="75" t="b">
        <v>1</v>
      </c>
      <c r="D268" s="74" t="s">
        <v>991</v>
      </c>
      <c r="E268" s="76" t="s">
        <v>1236</v>
      </c>
      <c r="F268" s="76"/>
      <c r="G268" s="77">
        <v>44562</v>
      </c>
      <c r="H268" s="77">
        <v>44926</v>
      </c>
      <c r="I268" s="73"/>
      <c r="J268" s="73">
        <v>365</v>
      </c>
      <c r="K268" s="78">
        <v>25</v>
      </c>
      <c r="L268" s="78">
        <v>1732</v>
      </c>
    </row>
    <row r="269" spans="2:12">
      <c r="B269" s="73">
        <f>IF(FacilitySchedule[[#This Row],[Active]]=TRUE,1,0)</f>
        <v>1</v>
      </c>
      <c r="C269" s="75" t="b">
        <v>1</v>
      </c>
      <c r="D269" s="74" t="s">
        <v>993</v>
      </c>
      <c r="E269" s="76" t="s">
        <v>1220</v>
      </c>
      <c r="F269" s="76"/>
      <c r="G269" s="77">
        <v>42736</v>
      </c>
      <c r="H269" s="77">
        <v>43100</v>
      </c>
      <c r="I269" s="73"/>
      <c r="J269" s="73">
        <v>365</v>
      </c>
      <c r="K269" s="78">
        <v>25</v>
      </c>
      <c r="L269" s="78">
        <v>1733</v>
      </c>
    </row>
    <row r="270" spans="2:12">
      <c r="B270" s="73">
        <f>IF(FacilitySchedule[[#This Row],[Active]]=TRUE,1,0)</f>
        <v>1</v>
      </c>
      <c r="C270" s="75" t="b">
        <v>1</v>
      </c>
      <c r="D270" s="74" t="s">
        <v>993</v>
      </c>
      <c r="E270" s="76" t="s">
        <v>1220</v>
      </c>
      <c r="F270" s="76"/>
      <c r="G270" s="77">
        <v>43101</v>
      </c>
      <c r="H270" s="77">
        <v>43465</v>
      </c>
      <c r="I270" s="73"/>
      <c r="J270" s="73">
        <v>365</v>
      </c>
      <c r="K270" s="78">
        <v>25</v>
      </c>
      <c r="L270" s="78">
        <v>1734</v>
      </c>
    </row>
    <row r="271" spans="2:12">
      <c r="B271" s="73">
        <f>IF(FacilitySchedule[[#This Row],[Active]]=TRUE,1,0)</f>
        <v>1</v>
      </c>
      <c r="C271" s="75" t="b">
        <v>1</v>
      </c>
      <c r="D271" s="74" t="s">
        <v>993</v>
      </c>
      <c r="E271" s="76" t="s">
        <v>1220</v>
      </c>
      <c r="F271" s="76"/>
      <c r="G271" s="77">
        <v>43466</v>
      </c>
      <c r="H271" s="77">
        <v>43830</v>
      </c>
      <c r="I271" s="73"/>
      <c r="J271" s="73">
        <v>365</v>
      </c>
      <c r="K271" s="78">
        <v>25</v>
      </c>
      <c r="L271" s="78">
        <v>1735</v>
      </c>
    </row>
    <row r="272" spans="2:12">
      <c r="B272" s="73">
        <f>IF(FacilitySchedule[[#This Row],[Active]]=TRUE,1,0)</f>
        <v>1</v>
      </c>
      <c r="C272" s="75" t="b">
        <v>1</v>
      </c>
      <c r="D272" s="74" t="s">
        <v>993</v>
      </c>
      <c r="E272" s="76" t="s">
        <v>1220</v>
      </c>
      <c r="F272" s="76"/>
      <c r="G272" s="77">
        <v>43831</v>
      </c>
      <c r="H272" s="77">
        <v>44196</v>
      </c>
      <c r="I272" s="73"/>
      <c r="J272" s="73">
        <v>365</v>
      </c>
      <c r="K272" s="78">
        <v>25</v>
      </c>
      <c r="L272" s="78">
        <v>1736</v>
      </c>
    </row>
    <row r="273" spans="2:12">
      <c r="B273" s="73">
        <f>IF(FacilitySchedule[[#This Row],[Active]]=TRUE,1,0)</f>
        <v>1</v>
      </c>
      <c r="C273" s="75" t="b">
        <v>1</v>
      </c>
      <c r="D273" s="74" t="s">
        <v>993</v>
      </c>
      <c r="E273" s="76" t="s">
        <v>1206</v>
      </c>
      <c r="F273" s="76"/>
      <c r="G273" s="77">
        <v>44197</v>
      </c>
      <c r="H273" s="77">
        <v>44561</v>
      </c>
      <c r="I273" s="73"/>
      <c r="J273" s="73">
        <v>365</v>
      </c>
      <c r="K273" s="78">
        <v>25</v>
      </c>
      <c r="L273" s="78">
        <v>1737</v>
      </c>
    </row>
    <row r="274" spans="2:12">
      <c r="B274" s="73">
        <f>IF(FacilitySchedule[[#This Row],[Active]]=TRUE,1,0)</f>
        <v>1</v>
      </c>
      <c r="C274" s="75" t="b">
        <v>1</v>
      </c>
      <c r="D274" s="74" t="s">
        <v>994</v>
      </c>
      <c r="E274" s="76" t="s">
        <v>1216</v>
      </c>
      <c r="F274" s="76"/>
      <c r="G274" s="77">
        <v>43101</v>
      </c>
      <c r="H274" s="77">
        <v>43465</v>
      </c>
      <c r="I274" s="73"/>
      <c r="J274" s="73">
        <v>365</v>
      </c>
      <c r="K274" s="78">
        <v>25</v>
      </c>
      <c r="L274" s="78">
        <v>1738</v>
      </c>
    </row>
    <row r="275" spans="2:12">
      <c r="B275" s="73">
        <f>IF(FacilitySchedule[[#This Row],[Active]]=TRUE,1,0)</f>
        <v>1</v>
      </c>
      <c r="C275" s="75" t="b">
        <v>1</v>
      </c>
      <c r="D275" s="74" t="s">
        <v>994</v>
      </c>
      <c r="E275" s="76" t="s">
        <v>1216</v>
      </c>
      <c r="F275" s="76"/>
      <c r="G275" s="77">
        <v>43466</v>
      </c>
      <c r="H275" s="77">
        <v>43830</v>
      </c>
      <c r="I275" s="73"/>
      <c r="J275" s="73">
        <v>365</v>
      </c>
      <c r="K275" s="78">
        <v>25</v>
      </c>
      <c r="L275" s="78">
        <v>1739</v>
      </c>
    </row>
    <row r="276" spans="2:12">
      <c r="B276" s="73">
        <f>IF(FacilitySchedule[[#This Row],[Active]]=TRUE,1,0)</f>
        <v>1</v>
      </c>
      <c r="C276" s="75" t="b">
        <v>1</v>
      </c>
      <c r="D276" s="74" t="s">
        <v>994</v>
      </c>
      <c r="E276" s="76" t="s">
        <v>1216</v>
      </c>
      <c r="F276" s="76"/>
      <c r="G276" s="77">
        <v>43831</v>
      </c>
      <c r="H276" s="77">
        <v>44196</v>
      </c>
      <c r="I276" s="73"/>
      <c r="J276" s="73">
        <v>365</v>
      </c>
      <c r="K276" s="78">
        <v>25</v>
      </c>
      <c r="L276" s="78">
        <v>1740</v>
      </c>
    </row>
    <row r="277" spans="2:12">
      <c r="B277" s="73">
        <f>IF(FacilitySchedule[[#This Row],[Active]]=TRUE,1,0)</f>
        <v>1</v>
      </c>
      <c r="C277" s="75" t="b">
        <v>1</v>
      </c>
      <c r="D277" s="74" t="s">
        <v>994</v>
      </c>
      <c r="E277" s="76" t="s">
        <v>1024</v>
      </c>
      <c r="F277" s="76"/>
      <c r="G277" s="77">
        <v>44197</v>
      </c>
      <c r="H277" s="77">
        <v>44561</v>
      </c>
      <c r="I277" s="73"/>
      <c r="J277" s="73">
        <v>365</v>
      </c>
      <c r="K277" s="78">
        <v>25</v>
      </c>
      <c r="L277" s="78">
        <v>1741</v>
      </c>
    </row>
    <row r="278" spans="2:12">
      <c r="B278" s="73">
        <f>IF(FacilitySchedule[[#This Row],[Active]]=TRUE,1,0)</f>
        <v>1</v>
      </c>
      <c r="C278" s="75" t="b">
        <v>1</v>
      </c>
      <c r="D278" s="74" t="s">
        <v>994</v>
      </c>
      <c r="E278" s="76" t="s">
        <v>1062</v>
      </c>
      <c r="F278" s="76"/>
      <c r="G278" s="77">
        <v>44562</v>
      </c>
      <c r="H278" s="77">
        <v>44926</v>
      </c>
      <c r="I278" s="73"/>
      <c r="J278" s="73">
        <v>365</v>
      </c>
      <c r="K278" s="78">
        <v>25</v>
      </c>
      <c r="L278" s="78">
        <v>1742</v>
      </c>
    </row>
    <row r="279" spans="2:12">
      <c r="B279" s="73">
        <f>IF(FacilitySchedule[[#This Row],[Active]]=TRUE,1,0)</f>
        <v>1</v>
      </c>
      <c r="C279" s="75" t="b">
        <v>1</v>
      </c>
      <c r="D279" s="74" t="s">
        <v>995</v>
      </c>
      <c r="E279" s="76" t="s">
        <v>1212</v>
      </c>
      <c r="F279" s="76"/>
      <c r="G279" s="77">
        <v>43101</v>
      </c>
      <c r="H279" s="77">
        <v>43465</v>
      </c>
      <c r="I279" s="73"/>
      <c r="J279" s="73">
        <v>365</v>
      </c>
      <c r="K279" s="78">
        <v>25</v>
      </c>
      <c r="L279" s="78">
        <v>1743</v>
      </c>
    </row>
    <row r="280" spans="2:12">
      <c r="B280" s="73">
        <f>IF(FacilitySchedule[[#This Row],[Active]]=TRUE,1,0)</f>
        <v>1</v>
      </c>
      <c r="C280" s="75" t="b">
        <v>1</v>
      </c>
      <c r="D280" s="74" t="s">
        <v>995</v>
      </c>
      <c r="E280" s="76" t="s">
        <v>1211</v>
      </c>
      <c r="F280" s="76"/>
      <c r="G280" s="77">
        <v>43466</v>
      </c>
      <c r="H280" s="77">
        <v>43830</v>
      </c>
      <c r="I280" s="73"/>
      <c r="J280" s="73">
        <v>365</v>
      </c>
      <c r="K280" s="78">
        <v>25</v>
      </c>
      <c r="L280" s="78">
        <v>1744</v>
      </c>
    </row>
    <row r="281" spans="2:12">
      <c r="B281" s="73">
        <f>IF(FacilitySchedule[[#This Row],[Active]]=TRUE,1,0)</f>
        <v>1</v>
      </c>
      <c r="C281" s="75" t="b">
        <v>1</v>
      </c>
      <c r="D281" s="74" t="s">
        <v>995</v>
      </c>
      <c r="E281" s="76" t="s">
        <v>1236</v>
      </c>
      <c r="F281" s="76"/>
      <c r="G281" s="77">
        <v>43831</v>
      </c>
      <c r="H281" s="77">
        <v>44196</v>
      </c>
      <c r="I281" s="73"/>
      <c r="J281" s="73">
        <v>365</v>
      </c>
      <c r="K281" s="78">
        <v>25</v>
      </c>
      <c r="L281" s="78">
        <v>1745</v>
      </c>
    </row>
    <row r="282" spans="2:12">
      <c r="B282" s="73">
        <f>IF(FacilitySchedule[[#This Row],[Active]]=TRUE,1,0)</f>
        <v>1</v>
      </c>
      <c r="C282" s="75" t="b">
        <v>1</v>
      </c>
      <c r="D282" s="74" t="s">
        <v>995</v>
      </c>
      <c r="E282" s="76" t="s">
        <v>1236</v>
      </c>
      <c r="F282" s="76"/>
      <c r="G282" s="77">
        <v>44197</v>
      </c>
      <c r="H282" s="77">
        <v>44561</v>
      </c>
      <c r="I282" s="73"/>
      <c r="J282" s="73">
        <v>365</v>
      </c>
      <c r="K282" s="78">
        <v>25</v>
      </c>
      <c r="L282" s="78">
        <v>1746</v>
      </c>
    </row>
    <row r="283" spans="2:12">
      <c r="B283" s="73">
        <f>IF(FacilitySchedule[[#This Row],[Active]]=TRUE,1,0)</f>
        <v>1</v>
      </c>
      <c r="C283" s="75" t="b">
        <v>1</v>
      </c>
      <c r="D283" s="74" t="s">
        <v>995</v>
      </c>
      <c r="E283" s="76" t="s">
        <v>1236</v>
      </c>
      <c r="F283" s="76"/>
      <c r="G283" s="77">
        <v>44562</v>
      </c>
      <c r="H283" s="77">
        <v>44926</v>
      </c>
      <c r="I283" s="73"/>
      <c r="J283" s="73">
        <v>365</v>
      </c>
      <c r="K283" s="78">
        <v>25</v>
      </c>
      <c r="L283" s="78">
        <v>1747</v>
      </c>
    </row>
    <row r="284" spans="2:12">
      <c r="B284" s="73">
        <f>IF(FacilitySchedule[[#This Row],[Active]]=TRUE,1,0)</f>
        <v>1</v>
      </c>
      <c r="C284" s="75" t="b">
        <v>1</v>
      </c>
      <c r="D284" s="74" t="s">
        <v>996</v>
      </c>
      <c r="E284" s="76" t="s">
        <v>1203</v>
      </c>
      <c r="F284" s="76"/>
      <c r="G284" s="77">
        <v>43101</v>
      </c>
      <c r="H284" s="77">
        <v>43465</v>
      </c>
      <c r="I284" s="73"/>
      <c r="J284" s="73">
        <v>365</v>
      </c>
      <c r="K284" s="78">
        <v>25</v>
      </c>
      <c r="L284" s="78">
        <v>1748</v>
      </c>
    </row>
    <row r="285" spans="2:12">
      <c r="B285" s="73">
        <f>IF(FacilitySchedule[[#This Row],[Active]]=TRUE,1,0)</f>
        <v>1</v>
      </c>
      <c r="C285" s="75" t="b">
        <v>1</v>
      </c>
      <c r="D285" s="74" t="s">
        <v>996</v>
      </c>
      <c r="E285" s="76" t="s">
        <v>1203</v>
      </c>
      <c r="F285" s="76"/>
      <c r="G285" s="77">
        <v>43466</v>
      </c>
      <c r="H285" s="77">
        <v>43830</v>
      </c>
      <c r="I285" s="73"/>
      <c r="J285" s="73">
        <v>365</v>
      </c>
      <c r="K285" s="78">
        <v>25</v>
      </c>
      <c r="L285" s="78">
        <v>1749</v>
      </c>
    </row>
    <row r="286" spans="2:12">
      <c r="B286" s="73">
        <f>IF(FacilitySchedule[[#This Row],[Active]]=TRUE,1,0)</f>
        <v>1</v>
      </c>
      <c r="C286" s="75" t="b">
        <v>1</v>
      </c>
      <c r="D286" s="74" t="s">
        <v>996</v>
      </c>
      <c r="E286" s="76" t="s">
        <v>1203</v>
      </c>
      <c r="F286" s="76"/>
      <c r="G286" s="77">
        <v>43831</v>
      </c>
      <c r="H286" s="77">
        <v>44196</v>
      </c>
      <c r="I286" s="73"/>
      <c r="J286" s="73">
        <v>365</v>
      </c>
      <c r="K286" s="78">
        <v>25</v>
      </c>
      <c r="L286" s="78">
        <v>1750</v>
      </c>
    </row>
    <row r="287" spans="2:12">
      <c r="B287" s="73">
        <f>IF(FacilitySchedule[[#This Row],[Active]]=TRUE,1,0)</f>
        <v>1</v>
      </c>
      <c r="C287" s="75" t="b">
        <v>1</v>
      </c>
      <c r="D287" s="74" t="s">
        <v>996</v>
      </c>
      <c r="E287" s="76" t="s">
        <v>1203</v>
      </c>
      <c r="F287" s="76"/>
      <c r="G287" s="77">
        <v>44197</v>
      </c>
      <c r="H287" s="77">
        <v>44561</v>
      </c>
      <c r="I287" s="73"/>
      <c r="J287" s="73">
        <v>365</v>
      </c>
      <c r="K287" s="78">
        <v>25</v>
      </c>
      <c r="L287" s="78">
        <v>1751</v>
      </c>
    </row>
    <row r="288" spans="2:12">
      <c r="B288" s="73">
        <f>IF(FacilitySchedule[[#This Row],[Active]]=TRUE,1,0)</f>
        <v>1</v>
      </c>
      <c r="C288" s="75" t="b">
        <v>1</v>
      </c>
      <c r="D288" s="74" t="s">
        <v>996</v>
      </c>
      <c r="E288" s="76" t="s">
        <v>1203</v>
      </c>
      <c r="F288" s="76"/>
      <c r="G288" s="77">
        <v>44562</v>
      </c>
      <c r="H288" s="77">
        <v>44926</v>
      </c>
      <c r="I288" s="73"/>
      <c r="J288" s="73">
        <v>365</v>
      </c>
      <c r="K288" s="78">
        <v>25</v>
      </c>
      <c r="L288" s="78">
        <v>1752</v>
      </c>
    </row>
    <row r="289" spans="2:12">
      <c r="B289" s="73">
        <f>IF(FacilitySchedule[[#This Row],[Active]]=TRUE,1,0)</f>
        <v>1</v>
      </c>
      <c r="C289" s="75" t="b">
        <v>1</v>
      </c>
      <c r="D289" s="74" t="s">
        <v>998</v>
      </c>
      <c r="E289" s="76" t="s">
        <v>1208</v>
      </c>
      <c r="F289" s="76"/>
      <c r="G289" s="77">
        <v>43101</v>
      </c>
      <c r="H289" s="77">
        <v>43465</v>
      </c>
      <c r="I289" s="73"/>
      <c r="J289" s="73">
        <v>365</v>
      </c>
      <c r="K289" s="78">
        <v>25</v>
      </c>
      <c r="L289" s="78">
        <v>1753</v>
      </c>
    </row>
    <row r="290" spans="2:12">
      <c r="B290" s="73">
        <f>IF(FacilitySchedule[[#This Row],[Active]]=TRUE,1,0)</f>
        <v>1</v>
      </c>
      <c r="C290" s="75" t="b">
        <v>1</v>
      </c>
      <c r="D290" s="74" t="s">
        <v>998</v>
      </c>
      <c r="E290" s="76" t="s">
        <v>1208</v>
      </c>
      <c r="F290" s="76"/>
      <c r="G290" s="77">
        <v>43466</v>
      </c>
      <c r="H290" s="77">
        <v>43830</v>
      </c>
      <c r="I290" s="73"/>
      <c r="J290" s="73">
        <v>365</v>
      </c>
      <c r="K290" s="78">
        <v>25</v>
      </c>
      <c r="L290" s="78">
        <v>1754</v>
      </c>
    </row>
    <row r="291" spans="2:12">
      <c r="B291" s="73">
        <f>IF(FacilitySchedule[[#This Row],[Active]]=TRUE,1,0)</f>
        <v>1</v>
      </c>
      <c r="C291" s="75" t="b">
        <v>1</v>
      </c>
      <c r="D291" s="74" t="s">
        <v>998</v>
      </c>
      <c r="E291" s="76" t="s">
        <v>1208</v>
      </c>
      <c r="F291" s="76"/>
      <c r="G291" s="77">
        <v>43831</v>
      </c>
      <c r="H291" s="77">
        <v>44196</v>
      </c>
      <c r="I291" s="73"/>
      <c r="J291" s="73">
        <v>365</v>
      </c>
      <c r="K291" s="78">
        <v>25</v>
      </c>
      <c r="L291" s="78">
        <v>1755</v>
      </c>
    </row>
    <row r="292" spans="2:12">
      <c r="B292" s="73">
        <f>IF(FacilitySchedule[[#This Row],[Active]]=TRUE,1,0)</f>
        <v>1</v>
      </c>
      <c r="C292" s="75" t="b">
        <v>1</v>
      </c>
      <c r="D292" s="74" t="s">
        <v>998</v>
      </c>
      <c r="E292" s="76" t="s">
        <v>1208</v>
      </c>
      <c r="F292" s="76"/>
      <c r="G292" s="77">
        <v>44197</v>
      </c>
      <c r="H292" s="77">
        <v>44561</v>
      </c>
      <c r="I292" s="73"/>
      <c r="J292" s="73">
        <v>365</v>
      </c>
      <c r="K292" s="78">
        <v>25</v>
      </c>
      <c r="L292" s="78">
        <v>1756</v>
      </c>
    </row>
    <row r="293" spans="2:12">
      <c r="B293" s="73">
        <f>IF(FacilitySchedule[[#This Row],[Active]]=TRUE,1,0)</f>
        <v>1</v>
      </c>
      <c r="C293" s="75" t="b">
        <v>1</v>
      </c>
      <c r="D293" s="74" t="s">
        <v>998</v>
      </c>
      <c r="E293" s="76" t="s">
        <v>1208</v>
      </c>
      <c r="F293" s="76"/>
      <c r="G293" s="77">
        <v>44562</v>
      </c>
      <c r="H293" s="77">
        <v>44926</v>
      </c>
      <c r="I293" s="73"/>
      <c r="J293" s="73">
        <v>365</v>
      </c>
      <c r="K293" s="78">
        <v>25</v>
      </c>
      <c r="L293" s="78">
        <v>1757</v>
      </c>
    </row>
    <row r="294" spans="2:12">
      <c r="B294" s="73">
        <f>IF(FacilitySchedule[[#This Row],[Active]]=TRUE,1,0)</f>
        <v>1</v>
      </c>
      <c r="C294" s="75" t="b">
        <v>1</v>
      </c>
      <c r="D294" s="74" t="s">
        <v>999</v>
      </c>
      <c r="E294" s="76" t="s">
        <v>1208</v>
      </c>
      <c r="F294" s="76"/>
      <c r="G294" s="77">
        <v>43101</v>
      </c>
      <c r="H294" s="77">
        <v>43465</v>
      </c>
      <c r="I294" s="73"/>
      <c r="J294" s="73">
        <v>365</v>
      </c>
      <c r="K294" s="78">
        <v>25</v>
      </c>
      <c r="L294" s="78">
        <v>1758</v>
      </c>
    </row>
    <row r="295" spans="2:12">
      <c r="B295" s="73">
        <f>IF(FacilitySchedule[[#This Row],[Active]]=TRUE,1,0)</f>
        <v>1</v>
      </c>
      <c r="C295" s="75" t="b">
        <v>1</v>
      </c>
      <c r="D295" s="74" t="s">
        <v>999</v>
      </c>
      <c r="E295" s="76" t="s">
        <v>1208</v>
      </c>
      <c r="F295" s="76"/>
      <c r="G295" s="77">
        <v>43466</v>
      </c>
      <c r="H295" s="77">
        <v>43830</v>
      </c>
      <c r="I295" s="73"/>
      <c r="J295" s="73">
        <v>365</v>
      </c>
      <c r="K295" s="78">
        <v>25</v>
      </c>
      <c r="L295" s="78">
        <v>1759</v>
      </c>
    </row>
    <row r="296" spans="2:12">
      <c r="B296" s="73">
        <f>IF(FacilitySchedule[[#This Row],[Active]]=TRUE,1,0)</f>
        <v>1</v>
      </c>
      <c r="C296" s="75" t="b">
        <v>1</v>
      </c>
      <c r="D296" s="74" t="s">
        <v>999</v>
      </c>
      <c r="E296" s="76" t="s">
        <v>1208</v>
      </c>
      <c r="F296" s="76"/>
      <c r="G296" s="77">
        <v>43831</v>
      </c>
      <c r="H296" s="77">
        <v>44196</v>
      </c>
      <c r="I296" s="73"/>
      <c r="J296" s="73">
        <v>365</v>
      </c>
      <c r="K296" s="78">
        <v>25</v>
      </c>
      <c r="L296" s="78">
        <v>1760</v>
      </c>
    </row>
    <row r="297" spans="2:12">
      <c r="B297" s="73">
        <f>IF(FacilitySchedule[[#This Row],[Active]]=TRUE,1,0)</f>
        <v>1</v>
      </c>
      <c r="C297" s="75" t="b">
        <v>1</v>
      </c>
      <c r="D297" s="74" t="s">
        <v>999</v>
      </c>
      <c r="E297" s="76" t="s">
        <v>1208</v>
      </c>
      <c r="F297" s="76"/>
      <c r="G297" s="77">
        <v>44197</v>
      </c>
      <c r="H297" s="77">
        <v>44561</v>
      </c>
      <c r="I297" s="73"/>
      <c r="J297" s="73">
        <v>365</v>
      </c>
      <c r="K297" s="78">
        <v>25</v>
      </c>
      <c r="L297" s="78">
        <v>1761</v>
      </c>
    </row>
    <row r="298" spans="2:12">
      <c r="B298" s="73">
        <f>IF(FacilitySchedule[[#This Row],[Active]]=TRUE,1,0)</f>
        <v>1</v>
      </c>
      <c r="C298" s="75" t="b">
        <v>1</v>
      </c>
      <c r="D298" s="74" t="s">
        <v>999</v>
      </c>
      <c r="E298" s="76" t="s">
        <v>1208</v>
      </c>
      <c r="F298" s="76"/>
      <c r="G298" s="77">
        <v>44562</v>
      </c>
      <c r="H298" s="77">
        <v>44926</v>
      </c>
      <c r="I298" s="73"/>
      <c r="J298" s="73">
        <v>365</v>
      </c>
      <c r="K298" s="78">
        <v>25</v>
      </c>
      <c r="L298" s="78">
        <v>1762</v>
      </c>
    </row>
    <row r="299" spans="2:12">
      <c r="B299" s="73">
        <f>IF(FacilitySchedule[[#This Row],[Active]]=TRUE,1,0)</f>
        <v>1</v>
      </c>
      <c r="C299" s="75" t="b">
        <v>1</v>
      </c>
      <c r="D299" s="74" t="s">
        <v>1000</v>
      </c>
      <c r="E299" s="76" t="s">
        <v>1208</v>
      </c>
      <c r="F299" s="76"/>
      <c r="G299" s="77">
        <v>43101</v>
      </c>
      <c r="H299" s="77">
        <v>43465</v>
      </c>
      <c r="I299" s="73"/>
      <c r="J299" s="73">
        <v>365</v>
      </c>
      <c r="K299" s="78">
        <v>25</v>
      </c>
      <c r="L299" s="78">
        <v>1763</v>
      </c>
    </row>
    <row r="300" spans="2:12">
      <c r="B300" s="73">
        <f>IF(FacilitySchedule[[#This Row],[Active]]=TRUE,1,0)</f>
        <v>1</v>
      </c>
      <c r="C300" s="75" t="b">
        <v>1</v>
      </c>
      <c r="D300" s="74" t="s">
        <v>1000</v>
      </c>
      <c r="E300" s="76" t="s">
        <v>1208</v>
      </c>
      <c r="F300" s="76"/>
      <c r="G300" s="77">
        <v>43466</v>
      </c>
      <c r="H300" s="77">
        <v>43830</v>
      </c>
      <c r="I300" s="73"/>
      <c r="J300" s="73">
        <v>365</v>
      </c>
      <c r="K300" s="78">
        <v>25</v>
      </c>
      <c r="L300" s="78">
        <v>1764</v>
      </c>
    </row>
    <row r="301" spans="2:12">
      <c r="B301" s="73">
        <f>IF(FacilitySchedule[[#This Row],[Active]]=TRUE,1,0)</f>
        <v>1</v>
      </c>
      <c r="C301" s="75" t="b">
        <v>1</v>
      </c>
      <c r="D301" s="74" t="s">
        <v>1000</v>
      </c>
      <c r="E301" s="76" t="s">
        <v>1208</v>
      </c>
      <c r="F301" s="76"/>
      <c r="G301" s="77">
        <v>43831</v>
      </c>
      <c r="H301" s="77">
        <v>44196</v>
      </c>
      <c r="I301" s="73"/>
      <c r="J301" s="73">
        <v>365</v>
      </c>
      <c r="K301" s="78">
        <v>25</v>
      </c>
      <c r="L301" s="78">
        <v>1765</v>
      </c>
    </row>
    <row r="302" spans="2:12">
      <c r="B302" s="73">
        <f>IF(FacilitySchedule[[#This Row],[Active]]=TRUE,1,0)</f>
        <v>1</v>
      </c>
      <c r="C302" s="75" t="b">
        <v>1</v>
      </c>
      <c r="D302" s="74" t="s">
        <v>1000</v>
      </c>
      <c r="E302" s="76" t="s">
        <v>1208</v>
      </c>
      <c r="F302" s="76"/>
      <c r="G302" s="77">
        <v>44197</v>
      </c>
      <c r="H302" s="77">
        <v>44561</v>
      </c>
      <c r="I302" s="73"/>
      <c r="J302" s="73">
        <v>365</v>
      </c>
      <c r="K302" s="78">
        <v>25</v>
      </c>
      <c r="L302" s="78">
        <v>1766</v>
      </c>
    </row>
    <row r="303" spans="2:12">
      <c r="B303" s="73">
        <f>IF(FacilitySchedule[[#This Row],[Active]]=TRUE,1,0)</f>
        <v>1</v>
      </c>
      <c r="C303" s="75" t="b">
        <v>1</v>
      </c>
      <c r="D303" s="74" t="s">
        <v>1000</v>
      </c>
      <c r="E303" s="76" t="s">
        <v>1208</v>
      </c>
      <c r="F303" s="76"/>
      <c r="G303" s="77">
        <v>44562</v>
      </c>
      <c r="H303" s="77">
        <v>44926</v>
      </c>
      <c r="I303" s="73"/>
      <c r="J303" s="73">
        <v>365</v>
      </c>
      <c r="K303" s="78">
        <v>25</v>
      </c>
      <c r="L303" s="78">
        <v>1767</v>
      </c>
    </row>
    <row r="304" spans="2:12">
      <c r="B304" s="73">
        <f>IF(FacilitySchedule[[#This Row],[Active]]=TRUE,1,0)</f>
        <v>1</v>
      </c>
      <c r="C304" s="75" t="b">
        <v>1</v>
      </c>
      <c r="D304" s="74" t="s">
        <v>1001</v>
      </c>
      <c r="E304" s="76"/>
      <c r="F304" s="76" t="s">
        <v>701</v>
      </c>
      <c r="G304" s="77">
        <v>42736</v>
      </c>
      <c r="H304" s="77">
        <v>44926</v>
      </c>
      <c r="I304" s="73"/>
      <c r="J304" s="73">
        <v>365</v>
      </c>
      <c r="K304" s="78">
        <v>25</v>
      </c>
      <c r="L304" s="78">
        <v>1768</v>
      </c>
    </row>
    <row r="305" spans="2:12">
      <c r="B305" s="73">
        <f>IF(FacilitySchedule[[#This Row],[Active]]=TRUE,1,0)</f>
        <v>1</v>
      </c>
      <c r="C305" s="75" t="b">
        <v>1</v>
      </c>
      <c r="D305" s="74" t="s">
        <v>1003</v>
      </c>
      <c r="E305" s="76"/>
      <c r="F305" s="76" t="s">
        <v>1237</v>
      </c>
      <c r="G305" s="77">
        <v>42736</v>
      </c>
      <c r="H305" s="77">
        <v>44926</v>
      </c>
      <c r="I305" s="73"/>
      <c r="J305" s="73">
        <v>365</v>
      </c>
      <c r="K305" s="78">
        <v>25</v>
      </c>
      <c r="L305" s="78">
        <v>1769</v>
      </c>
    </row>
    <row r="306" spans="2:12">
      <c r="B306" s="73">
        <f>IF(FacilitySchedule[[#This Row],[Active]]=TRUE,1,0)</f>
        <v>1</v>
      </c>
      <c r="C306" s="75" t="b">
        <v>1</v>
      </c>
      <c r="D306" s="74" t="s">
        <v>1004</v>
      </c>
      <c r="E306" s="76"/>
      <c r="F306" s="76" t="s">
        <v>1237</v>
      </c>
      <c r="G306" s="77">
        <v>42736</v>
      </c>
      <c r="H306" s="77">
        <v>44926</v>
      </c>
      <c r="I306" s="73"/>
      <c r="J306" s="73">
        <v>365</v>
      </c>
      <c r="K306" s="78">
        <v>25</v>
      </c>
      <c r="L306" s="78">
        <v>1770</v>
      </c>
    </row>
    <row r="307" spans="2:12">
      <c r="B307" s="73">
        <f>IF(FacilitySchedule[[#This Row],[Active]]=TRUE,1,0)</f>
        <v>1</v>
      </c>
      <c r="C307" s="75" t="b">
        <v>1</v>
      </c>
      <c r="D307" s="74" t="s">
        <v>1006</v>
      </c>
      <c r="E307" s="76"/>
      <c r="F307" s="76" t="s">
        <v>1238</v>
      </c>
      <c r="G307" s="77">
        <v>42736</v>
      </c>
      <c r="H307" s="77">
        <v>44926</v>
      </c>
      <c r="I307" s="73"/>
      <c r="J307" s="73">
        <v>365</v>
      </c>
      <c r="K307" s="78">
        <v>25</v>
      </c>
      <c r="L307" s="78">
        <v>1771</v>
      </c>
    </row>
    <row r="308" spans="2:12">
      <c r="B308" s="73">
        <f>IF(FacilitySchedule[[#This Row],[Active]]=TRUE,1,0)</f>
        <v>1</v>
      </c>
      <c r="C308" s="75" t="b">
        <v>1</v>
      </c>
      <c r="D308" s="74" t="s">
        <v>1007</v>
      </c>
      <c r="E308" s="76"/>
      <c r="F308" s="76" t="s">
        <v>1239</v>
      </c>
      <c r="G308" s="77">
        <v>42736</v>
      </c>
      <c r="H308" s="77">
        <v>44926</v>
      </c>
      <c r="I308" s="73"/>
      <c r="J308" s="73">
        <v>365</v>
      </c>
      <c r="K308" s="78">
        <v>25</v>
      </c>
      <c r="L308" s="78">
        <v>1772</v>
      </c>
    </row>
    <row r="309" spans="2:12">
      <c r="B309" s="73">
        <f>IF(FacilitySchedule[[#This Row],[Active]]=TRUE,1,0)</f>
        <v>1</v>
      </c>
      <c r="C309" s="75" t="b">
        <v>1</v>
      </c>
      <c r="D309" s="74" t="s">
        <v>1009</v>
      </c>
      <c r="E309" s="76"/>
      <c r="F309" s="76" t="s">
        <v>1240</v>
      </c>
      <c r="G309" s="77">
        <v>42736</v>
      </c>
      <c r="H309" s="77">
        <v>44926</v>
      </c>
      <c r="I309" s="73"/>
      <c r="J309" s="73">
        <v>365</v>
      </c>
      <c r="K309" s="78">
        <v>25</v>
      </c>
      <c r="L309" s="78">
        <v>1773</v>
      </c>
    </row>
  </sheetData>
  <dataConsolidate/>
  <mergeCells count="1">
    <mergeCell ref="B2:H2"/>
  </mergeCells>
  <conditionalFormatting sqref="B5:L309">
    <cfRule type="expression" dxfId="27" priority="1">
      <formula>$C5 = FALSE</formula>
    </cfRule>
  </conditionalFormatting>
  <conditionalFormatting sqref="C5:C309">
    <cfRule type="containsText" dxfId="26" priority="2" operator="containsText" text="TRUE">
      <formula>NOT(ISERROR(SEARCH("TRUE",C5)))</formula>
    </cfRule>
    <cfRule type="containsText" dxfId="25" priority="3" operator="containsText" text="FALSE">
      <formula>NOT(ISERROR(SEARCH("FALSE",C5)))</formula>
    </cfRule>
  </conditionalFormatting>
  <dataValidations count="2">
    <dataValidation type="list" allowBlank="1" showInputMessage="1" showErrorMessage="1" sqref="C5:C309">
      <formula1>"TRUE, FALSE"</formula1>
    </dataValidation>
    <dataValidation type="list" allowBlank="1" showInputMessage="1" showErrorMessage="1" sqref="D5:D309">
      <formula1>INDIRECT("Facilities[Code]")</formula1>
    </dataValidation>
  </dataValidations>
  <pageMargins left="0.7" right="0.7" top="0.75" bottom="0.75" header="0.3" footer="0.3"/>
  <pageSetup scale="8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50"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84"/>
  <sheetViews>
    <sheetView showGridLines="0" topLeftCell="A2" zoomScaleNormal="100" workbookViewId="0">
      <pane xSplit="1" ySplit="3" topLeftCell="B11" activePane="bottomRight" state="frozen"/>
      <selection activeCell="J37" sqref="J37"/>
      <selection pane="topRight" activeCell="J37" sqref="J37"/>
      <selection pane="bottomLeft" activeCell="J37" sqref="J37"/>
      <selection pane="bottomRight" activeCell="C16" sqref="C16"/>
    </sheetView>
  </sheetViews>
  <sheetFormatPr defaultRowHeight="15"/>
  <cols>
    <col min="1" max="1" width="21.28515625" style="27" customWidth="1"/>
    <col min="2" max="2" width="6.42578125" bestFit="1" customWidth="1"/>
    <col min="3" max="3" width="11.140625" style="15" bestFit="1" customWidth="1"/>
    <col min="4" max="4" width="12.85546875" bestFit="1" customWidth="1"/>
    <col min="5" max="5" width="20.42578125" bestFit="1" customWidth="1"/>
    <col min="6" max="6" width="12.5703125" bestFit="1" customWidth="1"/>
    <col min="7" max="7" width="13.28515625" bestFit="1" customWidth="1"/>
    <col min="8" max="8" width="11.85546875" bestFit="1" customWidth="1"/>
    <col min="9" max="9" width="16.5703125" bestFit="1" customWidth="1"/>
    <col min="10" max="10" width="17.140625" bestFit="1" customWidth="1"/>
    <col min="11" max="11" width="15.7109375" bestFit="1" customWidth="1"/>
    <col min="12" max="12" width="31.28515625" bestFit="1" customWidth="1"/>
    <col min="13" max="13" width="9" bestFit="1" customWidth="1"/>
    <col min="14" max="14" width="9.140625" bestFit="1" customWidth="1"/>
    <col min="15" max="15" width="9.42578125" bestFit="1" customWidth="1"/>
    <col min="16" max="16" width="14.28515625" bestFit="1" customWidth="1"/>
    <col min="17" max="17" width="13.42578125" bestFit="1" customWidth="1"/>
    <col min="18" max="18" width="16.28515625" bestFit="1" customWidth="1"/>
    <col min="19" max="19" width="15.140625" bestFit="1" customWidth="1"/>
    <col min="20" max="20" width="15.85546875" hidden="1" customWidth="1"/>
    <col min="21" max="21" width="7.42578125" hidden="1" customWidth="1"/>
  </cols>
  <sheetData>
    <row r="1" spans="1:21" ht="74.25" hidden="1" customHeight="1">
      <c r="A1" s="16"/>
      <c r="N1">
        <v>52</v>
      </c>
    </row>
    <row r="2" spans="1:21" s="5" customFormat="1" ht="29.25" customHeight="1" thickBot="1">
      <c r="A2" s="27"/>
      <c r="B2" s="101" t="s">
        <v>48</v>
      </c>
      <c r="C2" s="101"/>
      <c r="D2" s="101"/>
      <c r="E2" s="101"/>
      <c r="F2" s="101"/>
      <c r="G2" s="101"/>
    </row>
    <row r="3" spans="1:21" s="4" customFormat="1" ht="9" customHeight="1" thickTop="1">
      <c r="A3" s="27"/>
      <c r="C3" s="24"/>
    </row>
    <row r="4" spans="1:21" s="13" customFormat="1" ht="15" customHeight="1">
      <c r="A4" s="27"/>
      <c r="B4" s="20" t="s">
        <v>11</v>
      </c>
      <c r="C4" s="19" t="s">
        <v>1</v>
      </c>
      <c r="D4" s="19" t="s">
        <v>0</v>
      </c>
      <c r="E4" s="19" t="s">
        <v>3</v>
      </c>
      <c r="F4" s="19" t="s">
        <v>41</v>
      </c>
      <c r="G4" s="19" t="s">
        <v>301</v>
      </c>
      <c r="H4" s="19" t="s">
        <v>176</v>
      </c>
      <c r="I4" s="19" t="s">
        <v>43</v>
      </c>
      <c r="J4" s="19" t="s">
        <v>300</v>
      </c>
      <c r="K4" s="19" t="s">
        <v>185</v>
      </c>
      <c r="L4" s="19" t="s">
        <v>42</v>
      </c>
      <c r="M4" s="19" t="s">
        <v>44</v>
      </c>
      <c r="N4" s="19" t="s">
        <v>32</v>
      </c>
      <c r="O4" s="19" t="s">
        <v>33</v>
      </c>
      <c r="P4" s="19" t="s">
        <v>19</v>
      </c>
      <c r="Q4" s="19" t="s">
        <v>45</v>
      </c>
      <c r="R4" s="19" t="s">
        <v>46</v>
      </c>
      <c r="S4" s="19" t="s">
        <v>47</v>
      </c>
      <c r="T4" s="19" t="s">
        <v>2</v>
      </c>
      <c r="U4" s="19" t="s">
        <v>20</v>
      </c>
    </row>
    <row r="5" spans="1:21">
      <c r="A5" s="28"/>
      <c r="B5" s="32">
        <f>IF(TaxEvents[[#This Row],[Active]]=TRUE,1,0)</f>
        <v>1</v>
      </c>
      <c r="C5" s="33" t="b">
        <v>1</v>
      </c>
      <c r="D5" s="50" t="s">
        <v>607</v>
      </c>
      <c r="E5" s="50" t="s">
        <v>608</v>
      </c>
      <c r="F5" s="31" t="s">
        <v>49</v>
      </c>
      <c r="G5" s="33" t="b">
        <v>0</v>
      </c>
      <c r="H5" s="31"/>
      <c r="I5" s="51"/>
      <c r="J5" s="33" t="b">
        <v>0</v>
      </c>
      <c r="K5" s="31"/>
      <c r="L5" s="81" t="s">
        <v>609</v>
      </c>
      <c r="M5" s="31" t="s">
        <v>702</v>
      </c>
      <c r="N5" s="31"/>
      <c r="O5" s="54"/>
      <c r="P5" s="57">
        <v>43101</v>
      </c>
      <c r="Q5" s="57">
        <v>43465</v>
      </c>
      <c r="R5" s="54"/>
      <c r="S5" s="56" t="b">
        <v>0</v>
      </c>
      <c r="T5" s="64">
        <v>25</v>
      </c>
      <c r="U5" s="64">
        <v>1069</v>
      </c>
    </row>
    <row r="6" spans="1:21">
      <c r="B6" s="73">
        <f>IF(TaxEvents[[#This Row],[Active]]=TRUE,1,0)</f>
        <v>1</v>
      </c>
      <c r="C6" s="75" t="b">
        <v>1</v>
      </c>
      <c r="D6" s="76" t="s">
        <v>607</v>
      </c>
      <c r="E6" s="76" t="s">
        <v>608</v>
      </c>
      <c r="F6" s="73" t="s">
        <v>49</v>
      </c>
      <c r="G6" s="31" t="b">
        <v>0</v>
      </c>
      <c r="H6" s="31"/>
      <c r="I6" s="50"/>
      <c r="J6" s="31" t="b">
        <v>0</v>
      </c>
      <c r="K6" s="31"/>
      <c r="L6" s="74" t="s">
        <v>609</v>
      </c>
      <c r="M6" s="73" t="s">
        <v>599</v>
      </c>
      <c r="N6" s="73"/>
      <c r="O6" s="76"/>
      <c r="P6" s="77">
        <v>43466</v>
      </c>
      <c r="Q6" s="77">
        <v>43830</v>
      </c>
      <c r="R6" s="76"/>
      <c r="S6" s="73" t="b">
        <v>0</v>
      </c>
      <c r="T6" s="78">
        <v>25</v>
      </c>
      <c r="U6" s="78">
        <v>1070</v>
      </c>
    </row>
    <row r="7" spans="1:21">
      <c r="B7" s="73">
        <f>IF(TaxEvents[[#This Row],[Active]]=TRUE,1,0)</f>
        <v>1</v>
      </c>
      <c r="C7" s="75" t="b">
        <v>1</v>
      </c>
      <c r="D7" s="76" t="s">
        <v>607</v>
      </c>
      <c r="E7" s="76" t="s">
        <v>608</v>
      </c>
      <c r="F7" s="73" t="s">
        <v>49</v>
      </c>
      <c r="G7" s="31" t="b">
        <v>0</v>
      </c>
      <c r="H7" s="31"/>
      <c r="I7" s="50"/>
      <c r="J7" s="31" t="b">
        <v>0</v>
      </c>
      <c r="K7" s="31"/>
      <c r="L7" s="74" t="s">
        <v>609</v>
      </c>
      <c r="M7" s="73" t="s">
        <v>611</v>
      </c>
      <c r="N7" s="73"/>
      <c r="O7" s="76"/>
      <c r="P7" s="77">
        <v>43831</v>
      </c>
      <c r="Q7" s="77">
        <v>44196</v>
      </c>
      <c r="R7" s="76"/>
      <c r="S7" s="73" t="b">
        <v>0</v>
      </c>
      <c r="T7" s="78">
        <v>25</v>
      </c>
      <c r="U7" s="78">
        <v>1071</v>
      </c>
    </row>
    <row r="8" spans="1:21" ht="14.25" customHeight="1">
      <c r="B8" s="73">
        <f>IF(TaxEvents[[#This Row],[Active]]=TRUE,1,0)</f>
        <v>1</v>
      </c>
      <c r="C8" s="75" t="b">
        <v>1</v>
      </c>
      <c r="D8" s="76" t="s">
        <v>607</v>
      </c>
      <c r="E8" s="76" t="s">
        <v>608</v>
      </c>
      <c r="F8" s="73" t="s">
        <v>49</v>
      </c>
      <c r="G8" s="31" t="b">
        <v>0</v>
      </c>
      <c r="H8" s="31"/>
      <c r="I8" s="50"/>
      <c r="J8" s="31" t="b">
        <v>0</v>
      </c>
      <c r="K8" s="31"/>
      <c r="L8" s="74" t="s">
        <v>609</v>
      </c>
      <c r="M8" s="73" t="s">
        <v>612</v>
      </c>
      <c r="N8" s="73"/>
      <c r="O8" s="76"/>
      <c r="P8" s="77">
        <v>44197</v>
      </c>
      <c r="Q8" s="77">
        <v>44561</v>
      </c>
      <c r="R8" s="76"/>
      <c r="S8" s="73" t="b">
        <v>0</v>
      </c>
      <c r="T8" s="78">
        <v>25</v>
      </c>
      <c r="U8" s="78">
        <v>1072</v>
      </c>
    </row>
    <row r="9" spans="1:21">
      <c r="B9" s="73">
        <f>IF(TaxEvents[[#This Row],[Active]]=TRUE,1,0)</f>
        <v>1</v>
      </c>
      <c r="C9" s="75" t="b">
        <v>1</v>
      </c>
      <c r="D9" s="76" t="s">
        <v>607</v>
      </c>
      <c r="E9" s="76" t="s">
        <v>608</v>
      </c>
      <c r="F9" s="73" t="s">
        <v>49</v>
      </c>
      <c r="G9" s="31" t="b">
        <v>0</v>
      </c>
      <c r="H9" s="31"/>
      <c r="I9" s="50"/>
      <c r="J9" s="31" t="b">
        <v>0</v>
      </c>
      <c r="K9" s="31"/>
      <c r="L9" s="74" t="s">
        <v>609</v>
      </c>
      <c r="M9" s="73" t="s">
        <v>613</v>
      </c>
      <c r="N9" s="73"/>
      <c r="O9" s="76"/>
      <c r="P9" s="77">
        <v>44562</v>
      </c>
      <c r="Q9" s="77">
        <v>44926</v>
      </c>
      <c r="R9" s="76"/>
      <c r="S9" s="73" t="b">
        <v>0</v>
      </c>
      <c r="T9" s="78">
        <v>25</v>
      </c>
      <c r="U9" s="78">
        <v>1073</v>
      </c>
    </row>
    <row r="10" spans="1:21">
      <c r="B10" s="73">
        <f>IF(TaxEvents[[#This Row],[Active]]=TRUE,1,0)</f>
        <v>0</v>
      </c>
      <c r="C10" s="75" t="b">
        <v>0</v>
      </c>
      <c r="D10" s="76" t="s">
        <v>614</v>
      </c>
      <c r="E10" s="76" t="s">
        <v>615</v>
      </c>
      <c r="F10" s="73" t="s">
        <v>49</v>
      </c>
      <c r="G10" s="31" t="b">
        <v>0</v>
      </c>
      <c r="H10" s="31"/>
      <c r="I10" s="50"/>
      <c r="J10" s="31" t="b">
        <v>0</v>
      </c>
      <c r="K10" s="31"/>
      <c r="L10" s="74" t="s">
        <v>54</v>
      </c>
      <c r="M10" s="73" t="s">
        <v>610</v>
      </c>
      <c r="N10" s="73"/>
      <c r="O10" s="76"/>
      <c r="P10" s="77">
        <v>42736</v>
      </c>
      <c r="Q10" s="77">
        <v>43100</v>
      </c>
      <c r="R10" s="76"/>
      <c r="S10" s="73" t="b">
        <v>0</v>
      </c>
      <c r="T10" s="78">
        <v>25</v>
      </c>
      <c r="U10" s="78">
        <v>1074</v>
      </c>
    </row>
    <row r="11" spans="1:21">
      <c r="B11" s="73">
        <f>IF(TaxEvents[[#This Row],[Active]]=TRUE,1,0)</f>
        <v>0</v>
      </c>
      <c r="C11" s="75" t="b">
        <v>0</v>
      </c>
      <c r="D11" s="76" t="s">
        <v>614</v>
      </c>
      <c r="E11" s="76" t="s">
        <v>615</v>
      </c>
      <c r="F11" s="73" t="s">
        <v>49</v>
      </c>
      <c r="G11" s="31" t="b">
        <v>0</v>
      </c>
      <c r="H11" s="31"/>
      <c r="I11" s="50"/>
      <c r="J11" s="31" t="b">
        <v>0</v>
      </c>
      <c r="K11" s="31"/>
      <c r="L11" s="74" t="s">
        <v>54</v>
      </c>
      <c r="M11" s="73" t="s">
        <v>599</v>
      </c>
      <c r="N11" s="73"/>
      <c r="O11" s="76"/>
      <c r="P11" s="77">
        <v>43101</v>
      </c>
      <c r="Q11" s="77">
        <v>43465</v>
      </c>
      <c r="R11" s="76"/>
      <c r="S11" s="73" t="b">
        <v>0</v>
      </c>
      <c r="T11" s="78">
        <v>25</v>
      </c>
      <c r="U11" s="78">
        <v>1075</v>
      </c>
    </row>
    <row r="12" spans="1:21">
      <c r="B12" s="73">
        <f>IF(TaxEvents[[#This Row],[Active]]=TRUE,1,0)</f>
        <v>0</v>
      </c>
      <c r="C12" s="75" t="b">
        <v>0</v>
      </c>
      <c r="D12" s="76" t="s">
        <v>614</v>
      </c>
      <c r="E12" s="76" t="s">
        <v>615</v>
      </c>
      <c r="F12" s="73" t="s">
        <v>49</v>
      </c>
      <c r="G12" s="31" t="b">
        <v>0</v>
      </c>
      <c r="H12" s="31"/>
      <c r="I12" s="50"/>
      <c r="J12" s="31" t="b">
        <v>0</v>
      </c>
      <c r="K12" s="31"/>
      <c r="L12" s="74" t="s">
        <v>54</v>
      </c>
      <c r="M12" s="73" t="s">
        <v>611</v>
      </c>
      <c r="N12" s="73"/>
      <c r="O12" s="76"/>
      <c r="P12" s="77">
        <v>43466</v>
      </c>
      <c r="Q12" s="77">
        <v>43830</v>
      </c>
      <c r="R12" s="76"/>
      <c r="S12" s="73" t="b">
        <v>0</v>
      </c>
      <c r="T12" s="78">
        <v>25</v>
      </c>
      <c r="U12" s="78">
        <v>1076</v>
      </c>
    </row>
    <row r="13" spans="1:21">
      <c r="B13" s="73">
        <f>IF(TaxEvents[[#This Row],[Active]]=TRUE,1,0)</f>
        <v>0</v>
      </c>
      <c r="C13" s="75" t="b">
        <v>0</v>
      </c>
      <c r="D13" s="76" t="s">
        <v>614</v>
      </c>
      <c r="E13" s="76" t="s">
        <v>615</v>
      </c>
      <c r="F13" s="73" t="s">
        <v>49</v>
      </c>
      <c r="G13" s="31" t="b">
        <v>0</v>
      </c>
      <c r="H13" s="31"/>
      <c r="I13" s="50"/>
      <c r="J13" s="31" t="b">
        <v>0</v>
      </c>
      <c r="K13" s="31"/>
      <c r="L13" s="74" t="s">
        <v>54</v>
      </c>
      <c r="M13" s="73" t="s">
        <v>612</v>
      </c>
      <c r="N13" s="73"/>
      <c r="O13" s="76"/>
      <c r="P13" s="77">
        <v>43831</v>
      </c>
      <c r="Q13" s="77">
        <v>44196</v>
      </c>
      <c r="R13" s="76"/>
      <c r="S13" s="73" t="b">
        <v>0</v>
      </c>
      <c r="T13" s="78">
        <v>25</v>
      </c>
      <c r="U13" s="78">
        <v>1077</v>
      </c>
    </row>
    <row r="14" spans="1:21">
      <c r="B14" s="73">
        <f>IF(TaxEvents[[#This Row],[Active]]=TRUE,1,0)</f>
        <v>0</v>
      </c>
      <c r="C14" s="75" t="b">
        <v>0</v>
      </c>
      <c r="D14" s="76" t="s">
        <v>614</v>
      </c>
      <c r="E14" s="76" t="s">
        <v>615</v>
      </c>
      <c r="F14" s="73" t="s">
        <v>49</v>
      </c>
      <c r="G14" s="31" t="b">
        <v>0</v>
      </c>
      <c r="H14" s="31"/>
      <c r="I14" s="50"/>
      <c r="J14" s="31" t="b">
        <v>0</v>
      </c>
      <c r="K14" s="31"/>
      <c r="L14" s="74" t="s">
        <v>54</v>
      </c>
      <c r="M14" s="73" t="s">
        <v>613</v>
      </c>
      <c r="N14" s="73"/>
      <c r="O14" s="76"/>
      <c r="P14" s="77">
        <v>44197</v>
      </c>
      <c r="Q14" s="77">
        <v>44561</v>
      </c>
      <c r="R14" s="76"/>
      <c r="S14" s="73" t="b">
        <v>0</v>
      </c>
      <c r="T14" s="78">
        <v>25</v>
      </c>
      <c r="U14" s="78">
        <v>1078</v>
      </c>
    </row>
    <row r="15" spans="1:21">
      <c r="B15" s="73">
        <f>IF(TaxEvents[[#This Row],[Active]]=TRUE,1,0)</f>
        <v>1</v>
      </c>
      <c r="C15" s="75" t="b">
        <v>1</v>
      </c>
      <c r="D15" s="76" t="s">
        <v>616</v>
      </c>
      <c r="E15" s="76" t="s">
        <v>617</v>
      </c>
      <c r="F15" s="73" t="s">
        <v>49</v>
      </c>
      <c r="G15" s="31" t="b">
        <v>0</v>
      </c>
      <c r="H15" s="31"/>
      <c r="I15" s="50"/>
      <c r="J15" s="31" t="b">
        <v>0</v>
      </c>
      <c r="K15" s="31"/>
      <c r="L15" s="74" t="s">
        <v>55</v>
      </c>
      <c r="M15" s="73" t="s">
        <v>611</v>
      </c>
      <c r="N15" s="73"/>
      <c r="O15" s="76"/>
      <c r="P15" s="77">
        <v>42370</v>
      </c>
      <c r="Q15" s="77">
        <v>42735</v>
      </c>
      <c r="R15" s="76"/>
      <c r="S15" s="73" t="b">
        <v>0</v>
      </c>
      <c r="T15" s="78">
        <v>25</v>
      </c>
      <c r="U15" s="78">
        <v>1079</v>
      </c>
    </row>
    <row r="16" spans="1:21">
      <c r="B16" s="73">
        <f>IF(TaxEvents[[#This Row],[Active]]=TRUE,1,0)</f>
        <v>1</v>
      </c>
      <c r="C16" s="75" t="b">
        <v>1</v>
      </c>
      <c r="D16" s="76" t="s">
        <v>616</v>
      </c>
      <c r="E16" s="76" t="s">
        <v>617</v>
      </c>
      <c r="F16" s="73" t="s">
        <v>49</v>
      </c>
      <c r="G16" s="31" t="b">
        <v>0</v>
      </c>
      <c r="H16" s="31"/>
      <c r="I16" s="50"/>
      <c r="J16" s="31" t="b">
        <v>0</v>
      </c>
      <c r="K16" s="31"/>
      <c r="L16" s="74" t="s">
        <v>55</v>
      </c>
      <c r="M16" s="73" t="s">
        <v>612</v>
      </c>
      <c r="N16" s="73"/>
      <c r="O16" s="76"/>
      <c r="P16" s="77">
        <v>42736</v>
      </c>
      <c r="Q16" s="77">
        <v>43100</v>
      </c>
      <c r="R16" s="76"/>
      <c r="S16" s="73" t="b">
        <v>0</v>
      </c>
      <c r="T16" s="78">
        <v>25</v>
      </c>
      <c r="U16" s="78">
        <v>1080</v>
      </c>
    </row>
    <row r="17" spans="2:21">
      <c r="B17" s="73">
        <f>IF(TaxEvents[[#This Row],[Active]]=TRUE,1,0)</f>
        <v>1</v>
      </c>
      <c r="C17" s="75" t="b">
        <v>1</v>
      </c>
      <c r="D17" s="76" t="s">
        <v>616</v>
      </c>
      <c r="E17" s="76" t="s">
        <v>617</v>
      </c>
      <c r="F17" s="73" t="s">
        <v>49</v>
      </c>
      <c r="G17" s="31" t="b">
        <v>0</v>
      </c>
      <c r="H17" s="31"/>
      <c r="I17" s="50"/>
      <c r="J17" s="31" t="b">
        <v>0</v>
      </c>
      <c r="K17" s="31"/>
      <c r="L17" s="74" t="s">
        <v>55</v>
      </c>
      <c r="M17" s="73" t="s">
        <v>613</v>
      </c>
      <c r="N17" s="73"/>
      <c r="O17" s="76"/>
      <c r="P17" s="77">
        <v>43101</v>
      </c>
      <c r="Q17" s="77">
        <v>43465</v>
      </c>
      <c r="R17" s="76"/>
      <c r="S17" s="73" t="b">
        <v>0</v>
      </c>
      <c r="T17" s="78">
        <v>25</v>
      </c>
      <c r="U17" s="78">
        <v>1081</v>
      </c>
    </row>
    <row r="18" spans="2:21">
      <c r="B18" s="73">
        <f>IF(TaxEvents[[#This Row],[Active]]=TRUE,1,0)</f>
        <v>1</v>
      </c>
      <c r="C18" s="75" t="b">
        <v>1</v>
      </c>
      <c r="D18" s="76" t="s">
        <v>616</v>
      </c>
      <c r="E18" s="76" t="s">
        <v>617</v>
      </c>
      <c r="F18" s="73" t="s">
        <v>49</v>
      </c>
      <c r="G18" s="31" t="b">
        <v>0</v>
      </c>
      <c r="H18" s="31"/>
      <c r="I18" s="50"/>
      <c r="J18" s="31" t="b">
        <v>0</v>
      </c>
      <c r="K18" s="31"/>
      <c r="L18" s="74" t="s">
        <v>55</v>
      </c>
      <c r="M18" s="73" t="s">
        <v>618</v>
      </c>
      <c r="N18" s="73"/>
      <c r="O18" s="76"/>
      <c r="P18" s="77">
        <v>43466</v>
      </c>
      <c r="Q18" s="77">
        <v>43830</v>
      </c>
      <c r="R18" s="76"/>
      <c r="S18" s="73" t="b">
        <v>0</v>
      </c>
      <c r="T18" s="78">
        <v>25</v>
      </c>
      <c r="U18" s="78">
        <v>1082</v>
      </c>
    </row>
    <row r="19" spans="2:21">
      <c r="B19" s="73">
        <f>IF(TaxEvents[[#This Row],[Active]]=TRUE,1,0)</f>
        <v>1</v>
      </c>
      <c r="C19" s="75" t="b">
        <v>1</v>
      </c>
      <c r="D19" s="76" t="s">
        <v>616</v>
      </c>
      <c r="E19" s="76" t="s">
        <v>617</v>
      </c>
      <c r="F19" s="73" t="s">
        <v>49</v>
      </c>
      <c r="G19" s="31" t="b">
        <v>0</v>
      </c>
      <c r="H19" s="31"/>
      <c r="I19" s="50"/>
      <c r="J19" s="31" t="b">
        <v>0</v>
      </c>
      <c r="K19" s="31"/>
      <c r="L19" s="74" t="s">
        <v>55</v>
      </c>
      <c r="M19" s="73" t="s">
        <v>619</v>
      </c>
      <c r="N19" s="73"/>
      <c r="O19" s="76"/>
      <c r="P19" s="77">
        <v>43831</v>
      </c>
      <c r="Q19" s="77"/>
      <c r="R19" s="76"/>
      <c r="S19" s="73" t="b">
        <v>0</v>
      </c>
      <c r="T19" s="78">
        <v>25</v>
      </c>
      <c r="U19" s="78">
        <v>1083</v>
      </c>
    </row>
    <row r="20" spans="2:21">
      <c r="B20" s="73">
        <f>IF(TaxEvents[[#This Row],[Active]]=TRUE,1,0)</f>
        <v>1</v>
      </c>
      <c r="C20" s="75" t="b">
        <v>1</v>
      </c>
      <c r="D20" s="76" t="s">
        <v>620</v>
      </c>
      <c r="E20" s="76" t="s">
        <v>621</v>
      </c>
      <c r="F20" s="73" t="s">
        <v>53</v>
      </c>
      <c r="G20" s="31" t="b">
        <v>0</v>
      </c>
      <c r="H20" s="31"/>
      <c r="I20" s="50"/>
      <c r="J20" s="31" t="b">
        <v>0</v>
      </c>
      <c r="K20" s="31"/>
      <c r="L20" s="74"/>
      <c r="M20" s="73" t="s">
        <v>610</v>
      </c>
      <c r="N20" s="73"/>
      <c r="O20" s="76"/>
      <c r="P20" s="77">
        <v>42736</v>
      </c>
      <c r="Q20" s="77">
        <v>43100</v>
      </c>
      <c r="R20" s="76"/>
      <c r="S20" s="73" t="b">
        <v>0</v>
      </c>
      <c r="T20" s="78">
        <v>25</v>
      </c>
      <c r="U20" s="78">
        <v>1084</v>
      </c>
    </row>
    <row r="21" spans="2:21">
      <c r="B21" s="73">
        <f>IF(TaxEvents[[#This Row],[Active]]=TRUE,1,0)</f>
        <v>1</v>
      </c>
      <c r="C21" s="75" t="b">
        <v>1</v>
      </c>
      <c r="D21" s="76" t="s">
        <v>620</v>
      </c>
      <c r="E21" s="76" t="s">
        <v>621</v>
      </c>
      <c r="F21" s="73" t="s">
        <v>53</v>
      </c>
      <c r="G21" s="31" t="b">
        <v>0</v>
      </c>
      <c r="H21" s="31"/>
      <c r="I21" s="50"/>
      <c r="J21" s="31" t="b">
        <v>0</v>
      </c>
      <c r="K21" s="31"/>
      <c r="L21" s="74"/>
      <c r="M21" s="73" t="s">
        <v>599</v>
      </c>
      <c r="N21" s="73"/>
      <c r="O21" s="76"/>
      <c r="P21" s="77">
        <v>43101</v>
      </c>
      <c r="Q21" s="77">
        <v>43465</v>
      </c>
      <c r="R21" s="76"/>
      <c r="S21" s="73" t="b">
        <v>0</v>
      </c>
      <c r="T21" s="78">
        <v>25</v>
      </c>
      <c r="U21" s="78">
        <v>1085</v>
      </c>
    </row>
    <row r="22" spans="2:21">
      <c r="B22" s="73">
        <f>IF(TaxEvents[[#This Row],[Active]]=TRUE,1,0)</f>
        <v>1</v>
      </c>
      <c r="C22" s="75" t="b">
        <v>1</v>
      </c>
      <c r="D22" s="76" t="s">
        <v>620</v>
      </c>
      <c r="E22" s="76" t="s">
        <v>621</v>
      </c>
      <c r="F22" s="73" t="s">
        <v>53</v>
      </c>
      <c r="G22" s="31" t="b">
        <v>0</v>
      </c>
      <c r="H22" s="31"/>
      <c r="I22" s="50"/>
      <c r="J22" s="31" t="b">
        <v>0</v>
      </c>
      <c r="K22" s="31"/>
      <c r="L22" s="74"/>
      <c r="M22" s="73" t="s">
        <v>611</v>
      </c>
      <c r="N22" s="73"/>
      <c r="O22" s="76"/>
      <c r="P22" s="77">
        <v>43466</v>
      </c>
      <c r="Q22" s="77">
        <v>43830</v>
      </c>
      <c r="R22" s="76"/>
      <c r="S22" s="73" t="b">
        <v>0</v>
      </c>
      <c r="T22" s="78">
        <v>25</v>
      </c>
      <c r="U22" s="78">
        <v>1086</v>
      </c>
    </row>
    <row r="23" spans="2:21">
      <c r="B23" s="73">
        <f>IF(TaxEvents[[#This Row],[Active]]=TRUE,1,0)</f>
        <v>1</v>
      </c>
      <c r="C23" s="75" t="b">
        <v>1</v>
      </c>
      <c r="D23" s="76" t="s">
        <v>620</v>
      </c>
      <c r="E23" s="76" t="s">
        <v>621</v>
      </c>
      <c r="F23" s="73" t="s">
        <v>53</v>
      </c>
      <c r="G23" s="31" t="b">
        <v>0</v>
      </c>
      <c r="H23" s="31"/>
      <c r="I23" s="50"/>
      <c r="J23" s="31" t="b">
        <v>0</v>
      </c>
      <c r="K23" s="31"/>
      <c r="L23" s="74"/>
      <c r="M23" s="73" t="s">
        <v>612</v>
      </c>
      <c r="N23" s="73"/>
      <c r="O23" s="76"/>
      <c r="P23" s="77">
        <v>43831</v>
      </c>
      <c r="Q23" s="77">
        <v>44196</v>
      </c>
      <c r="R23" s="76"/>
      <c r="S23" s="73" t="b">
        <v>0</v>
      </c>
      <c r="T23" s="78">
        <v>25</v>
      </c>
      <c r="U23" s="78">
        <v>1087</v>
      </c>
    </row>
    <row r="24" spans="2:21">
      <c r="B24" s="73">
        <f>IF(TaxEvents[[#This Row],[Active]]=TRUE,1,0)</f>
        <v>1</v>
      </c>
      <c r="C24" s="75" t="b">
        <v>1</v>
      </c>
      <c r="D24" s="76" t="s">
        <v>620</v>
      </c>
      <c r="E24" s="76" t="s">
        <v>621</v>
      </c>
      <c r="F24" s="73" t="s">
        <v>53</v>
      </c>
      <c r="G24" s="31" t="b">
        <v>0</v>
      </c>
      <c r="H24" s="31"/>
      <c r="I24" s="50"/>
      <c r="J24" s="31" t="b">
        <v>0</v>
      </c>
      <c r="K24" s="31"/>
      <c r="L24" s="74"/>
      <c r="M24" s="73" t="s">
        <v>613</v>
      </c>
      <c r="N24" s="73"/>
      <c r="O24" s="76"/>
      <c r="P24" s="77">
        <v>44197</v>
      </c>
      <c r="Q24" s="77">
        <v>44561</v>
      </c>
      <c r="R24" s="76"/>
      <c r="S24" s="73" t="b">
        <v>0</v>
      </c>
      <c r="T24" s="78">
        <v>25</v>
      </c>
      <c r="U24" s="78">
        <v>1088</v>
      </c>
    </row>
    <row r="25" spans="2:21">
      <c r="B25" s="73">
        <f>IF(TaxEvents[[#This Row],[Active]]=TRUE,1,0)</f>
        <v>1</v>
      </c>
      <c r="C25" s="75" t="b">
        <v>1</v>
      </c>
      <c r="D25" s="76" t="s">
        <v>620</v>
      </c>
      <c r="E25" s="76" t="s">
        <v>621</v>
      </c>
      <c r="F25" s="73" t="s">
        <v>53</v>
      </c>
      <c r="G25" s="31" t="b">
        <v>0</v>
      </c>
      <c r="H25" s="31"/>
      <c r="I25" s="50"/>
      <c r="J25" s="31" t="b">
        <v>0</v>
      </c>
      <c r="K25" s="31"/>
      <c r="L25" s="74" t="s">
        <v>98</v>
      </c>
      <c r="M25" s="73" t="s">
        <v>622</v>
      </c>
      <c r="N25" s="73"/>
      <c r="O25" s="76"/>
      <c r="P25" s="77">
        <v>42736</v>
      </c>
      <c r="Q25" s="77">
        <v>43100</v>
      </c>
      <c r="R25" s="76"/>
      <c r="S25" s="73" t="b">
        <v>0</v>
      </c>
      <c r="T25" s="78">
        <v>25</v>
      </c>
      <c r="U25" s="78">
        <v>1089</v>
      </c>
    </row>
    <row r="26" spans="2:21">
      <c r="B26" s="73">
        <f>IF(TaxEvents[[#This Row],[Active]]=TRUE,1,0)</f>
        <v>1</v>
      </c>
      <c r="C26" s="75" t="b">
        <v>1</v>
      </c>
      <c r="D26" s="76" t="s">
        <v>620</v>
      </c>
      <c r="E26" s="76" t="s">
        <v>621</v>
      </c>
      <c r="F26" s="73" t="s">
        <v>53</v>
      </c>
      <c r="G26" s="31" t="b">
        <v>0</v>
      </c>
      <c r="H26" s="31"/>
      <c r="I26" s="50"/>
      <c r="J26" s="31" t="b">
        <v>0</v>
      </c>
      <c r="K26" s="31"/>
      <c r="L26" s="74" t="s">
        <v>98</v>
      </c>
      <c r="M26" s="73" t="s">
        <v>623</v>
      </c>
      <c r="N26" s="73"/>
      <c r="O26" s="76"/>
      <c r="P26" s="77">
        <v>43101</v>
      </c>
      <c r="Q26" s="77">
        <v>43465</v>
      </c>
      <c r="R26" s="76"/>
      <c r="S26" s="73" t="b">
        <v>0</v>
      </c>
      <c r="T26" s="78">
        <v>25</v>
      </c>
      <c r="U26" s="78">
        <v>1090</v>
      </c>
    </row>
    <row r="27" spans="2:21">
      <c r="B27" s="73">
        <f>IF(TaxEvents[[#This Row],[Active]]=TRUE,1,0)</f>
        <v>1</v>
      </c>
      <c r="C27" s="75" t="b">
        <v>1</v>
      </c>
      <c r="D27" s="76" t="s">
        <v>620</v>
      </c>
      <c r="E27" s="76" t="s">
        <v>621</v>
      </c>
      <c r="F27" s="73" t="s">
        <v>53</v>
      </c>
      <c r="G27" s="31" t="b">
        <v>0</v>
      </c>
      <c r="H27" s="31"/>
      <c r="I27" s="50"/>
      <c r="J27" s="31" t="b">
        <v>0</v>
      </c>
      <c r="K27" s="31"/>
      <c r="L27" s="74" t="s">
        <v>98</v>
      </c>
      <c r="M27" s="73" t="s">
        <v>624</v>
      </c>
      <c r="N27" s="73"/>
      <c r="O27" s="76"/>
      <c r="P27" s="77">
        <v>43466</v>
      </c>
      <c r="Q27" s="77">
        <v>43830</v>
      </c>
      <c r="R27" s="76"/>
      <c r="S27" s="73" t="b">
        <v>0</v>
      </c>
      <c r="T27" s="78">
        <v>25</v>
      </c>
      <c r="U27" s="78">
        <v>1091</v>
      </c>
    </row>
    <row r="28" spans="2:21">
      <c r="B28" s="73">
        <f>IF(TaxEvents[[#This Row],[Active]]=TRUE,1,0)</f>
        <v>1</v>
      </c>
      <c r="C28" s="75" t="b">
        <v>1</v>
      </c>
      <c r="D28" s="76" t="s">
        <v>620</v>
      </c>
      <c r="E28" s="76" t="s">
        <v>621</v>
      </c>
      <c r="F28" s="73" t="s">
        <v>53</v>
      </c>
      <c r="G28" s="31" t="b">
        <v>0</v>
      </c>
      <c r="H28" s="31"/>
      <c r="I28" s="50"/>
      <c r="J28" s="31" t="b">
        <v>0</v>
      </c>
      <c r="K28" s="31"/>
      <c r="L28" s="74" t="s">
        <v>98</v>
      </c>
      <c r="M28" s="73" t="s">
        <v>625</v>
      </c>
      <c r="N28" s="73"/>
      <c r="O28" s="76"/>
      <c r="P28" s="77">
        <v>43831</v>
      </c>
      <c r="Q28" s="77">
        <v>44196</v>
      </c>
      <c r="R28" s="76"/>
      <c r="S28" s="73" t="b">
        <v>0</v>
      </c>
      <c r="T28" s="78">
        <v>25</v>
      </c>
      <c r="U28" s="78">
        <v>1092</v>
      </c>
    </row>
    <row r="29" spans="2:21">
      <c r="B29" s="73">
        <f>IF(TaxEvents[[#This Row],[Active]]=TRUE,1,0)</f>
        <v>1</v>
      </c>
      <c r="C29" s="75" t="b">
        <v>1</v>
      </c>
      <c r="D29" s="76" t="s">
        <v>620</v>
      </c>
      <c r="E29" s="76" t="s">
        <v>621</v>
      </c>
      <c r="F29" s="73" t="s">
        <v>53</v>
      </c>
      <c r="G29" s="31" t="b">
        <v>0</v>
      </c>
      <c r="H29" s="31"/>
      <c r="I29" s="50"/>
      <c r="J29" s="31" t="b">
        <v>0</v>
      </c>
      <c r="K29" s="31"/>
      <c r="L29" s="74" t="s">
        <v>98</v>
      </c>
      <c r="M29" s="73" t="s">
        <v>626</v>
      </c>
      <c r="N29" s="73"/>
      <c r="O29" s="76"/>
      <c r="P29" s="77">
        <v>44197</v>
      </c>
      <c r="Q29" s="77">
        <v>44561</v>
      </c>
      <c r="R29" s="76"/>
      <c r="S29" s="73" t="b">
        <v>0</v>
      </c>
      <c r="T29" s="78">
        <v>25</v>
      </c>
      <c r="U29" s="78">
        <v>1093</v>
      </c>
    </row>
    <row r="30" spans="2:21">
      <c r="B30" s="73">
        <f>IF(TaxEvents[[#This Row],[Active]]=TRUE,1,0)</f>
        <v>1</v>
      </c>
      <c r="C30" s="75" t="b">
        <v>1</v>
      </c>
      <c r="D30" s="76" t="s">
        <v>627</v>
      </c>
      <c r="E30" s="76" t="s">
        <v>621</v>
      </c>
      <c r="F30" s="73" t="s">
        <v>53</v>
      </c>
      <c r="G30" s="31" t="b">
        <v>0</v>
      </c>
      <c r="H30" s="31"/>
      <c r="I30" s="50"/>
      <c r="J30" s="31" t="b">
        <v>0</v>
      </c>
      <c r="K30" s="31"/>
      <c r="L30" s="74" t="s">
        <v>98</v>
      </c>
      <c r="M30" s="73" t="s">
        <v>628</v>
      </c>
      <c r="N30" s="73"/>
      <c r="O30" s="76"/>
      <c r="P30" s="77">
        <v>42736</v>
      </c>
      <c r="Q30" s="77">
        <v>43100</v>
      </c>
      <c r="R30" s="76"/>
      <c r="S30" s="73" t="b">
        <v>0</v>
      </c>
      <c r="T30" s="78">
        <v>25</v>
      </c>
      <c r="U30" s="78">
        <v>1094</v>
      </c>
    </row>
    <row r="31" spans="2:21">
      <c r="B31" s="73">
        <f>IF(TaxEvents[[#This Row],[Active]]=TRUE,1,0)</f>
        <v>1</v>
      </c>
      <c r="C31" s="75" t="b">
        <v>1</v>
      </c>
      <c r="D31" s="76" t="s">
        <v>627</v>
      </c>
      <c r="E31" s="76" t="s">
        <v>621</v>
      </c>
      <c r="F31" s="73" t="s">
        <v>53</v>
      </c>
      <c r="G31" s="31" t="b">
        <v>0</v>
      </c>
      <c r="H31" s="31"/>
      <c r="I31" s="50"/>
      <c r="J31" s="31" t="b">
        <v>0</v>
      </c>
      <c r="K31" s="31"/>
      <c r="L31" s="74" t="s">
        <v>98</v>
      </c>
      <c r="M31" s="73" t="s">
        <v>606</v>
      </c>
      <c r="N31" s="73"/>
      <c r="O31" s="76"/>
      <c r="P31" s="77">
        <v>43101</v>
      </c>
      <c r="Q31" s="77">
        <v>43465</v>
      </c>
      <c r="R31" s="76"/>
      <c r="S31" s="73" t="b">
        <v>0</v>
      </c>
      <c r="T31" s="78">
        <v>25</v>
      </c>
      <c r="U31" s="78">
        <v>1095</v>
      </c>
    </row>
    <row r="32" spans="2:21">
      <c r="B32" s="73">
        <f>IF(TaxEvents[[#This Row],[Active]]=TRUE,1,0)</f>
        <v>1</v>
      </c>
      <c r="C32" s="75" t="b">
        <v>1</v>
      </c>
      <c r="D32" s="76" t="s">
        <v>627</v>
      </c>
      <c r="E32" s="76" t="s">
        <v>621</v>
      </c>
      <c r="F32" s="73" t="s">
        <v>53</v>
      </c>
      <c r="G32" s="31" t="b">
        <v>0</v>
      </c>
      <c r="H32" s="31"/>
      <c r="I32" s="50"/>
      <c r="J32" s="31" t="b">
        <v>0</v>
      </c>
      <c r="K32" s="31"/>
      <c r="L32" s="74" t="s">
        <v>98</v>
      </c>
      <c r="M32" s="73" t="s">
        <v>629</v>
      </c>
      <c r="N32" s="73"/>
      <c r="O32" s="76"/>
      <c r="P32" s="77">
        <v>43466</v>
      </c>
      <c r="Q32" s="77">
        <v>43830</v>
      </c>
      <c r="R32" s="76"/>
      <c r="S32" s="73" t="b">
        <v>0</v>
      </c>
      <c r="T32" s="78">
        <v>25</v>
      </c>
      <c r="U32" s="78">
        <v>1096</v>
      </c>
    </row>
    <row r="33" spans="2:21">
      <c r="B33" s="73">
        <f>IF(TaxEvents[[#This Row],[Active]]=TRUE,1,0)</f>
        <v>1</v>
      </c>
      <c r="C33" s="75" t="b">
        <v>1</v>
      </c>
      <c r="D33" s="76" t="s">
        <v>627</v>
      </c>
      <c r="E33" s="76" t="s">
        <v>621</v>
      </c>
      <c r="F33" s="73" t="s">
        <v>53</v>
      </c>
      <c r="G33" s="31" t="b">
        <v>0</v>
      </c>
      <c r="H33" s="31"/>
      <c r="I33" s="50"/>
      <c r="J33" s="31" t="b">
        <v>0</v>
      </c>
      <c r="K33" s="31"/>
      <c r="L33" s="74" t="s">
        <v>98</v>
      </c>
      <c r="M33" s="73" t="s">
        <v>600</v>
      </c>
      <c r="N33" s="73"/>
      <c r="O33" s="76"/>
      <c r="P33" s="77">
        <v>43831</v>
      </c>
      <c r="Q33" s="77">
        <v>44196</v>
      </c>
      <c r="R33" s="76"/>
      <c r="S33" s="73" t="b">
        <v>0</v>
      </c>
      <c r="T33" s="78">
        <v>25</v>
      </c>
      <c r="U33" s="78">
        <v>1097</v>
      </c>
    </row>
    <row r="34" spans="2:21">
      <c r="B34" s="73">
        <f>IF(TaxEvents[[#This Row],[Active]]=TRUE,1,0)</f>
        <v>1</v>
      </c>
      <c r="C34" s="75" t="b">
        <v>1</v>
      </c>
      <c r="D34" s="76" t="s">
        <v>627</v>
      </c>
      <c r="E34" s="76" t="s">
        <v>621</v>
      </c>
      <c r="F34" s="73" t="s">
        <v>53</v>
      </c>
      <c r="G34" s="31" t="b">
        <v>0</v>
      </c>
      <c r="H34" s="31"/>
      <c r="I34" s="50"/>
      <c r="J34" s="31" t="b">
        <v>0</v>
      </c>
      <c r="K34" s="31"/>
      <c r="L34" s="74" t="s">
        <v>98</v>
      </c>
      <c r="M34" s="73" t="s">
        <v>601</v>
      </c>
      <c r="N34" s="73"/>
      <c r="O34" s="76"/>
      <c r="P34" s="77">
        <v>44197</v>
      </c>
      <c r="Q34" s="77">
        <v>44561</v>
      </c>
      <c r="R34" s="76"/>
      <c r="S34" s="73" t="b">
        <v>0</v>
      </c>
      <c r="T34" s="78">
        <v>25</v>
      </c>
      <c r="U34" s="78">
        <v>1098</v>
      </c>
    </row>
    <row r="35" spans="2:21">
      <c r="B35" s="73">
        <f>IF(TaxEvents[[#This Row],[Active]]=TRUE,1,0)</f>
        <v>1</v>
      </c>
      <c r="C35" s="75" t="b">
        <v>1</v>
      </c>
      <c r="D35" s="76" t="s">
        <v>620</v>
      </c>
      <c r="E35" s="76" t="s">
        <v>621</v>
      </c>
      <c r="F35" s="73" t="s">
        <v>53</v>
      </c>
      <c r="G35" s="31" t="b">
        <v>0</v>
      </c>
      <c r="H35" s="31"/>
      <c r="I35" s="50"/>
      <c r="J35" s="31" t="b">
        <v>0</v>
      </c>
      <c r="K35" s="31"/>
      <c r="L35" s="74" t="s">
        <v>99</v>
      </c>
      <c r="M35" s="73" t="s">
        <v>622</v>
      </c>
      <c r="N35" s="73"/>
      <c r="O35" s="76"/>
      <c r="P35" s="77">
        <v>42736</v>
      </c>
      <c r="Q35" s="77">
        <v>43100</v>
      </c>
      <c r="R35" s="76"/>
      <c r="S35" s="73" t="b">
        <v>0</v>
      </c>
      <c r="T35" s="78">
        <v>25</v>
      </c>
      <c r="U35" s="78">
        <v>1099</v>
      </c>
    </row>
    <row r="36" spans="2:21">
      <c r="B36" s="73">
        <f>IF(TaxEvents[[#This Row],[Active]]=TRUE,1,0)</f>
        <v>1</v>
      </c>
      <c r="C36" s="75" t="b">
        <v>1</v>
      </c>
      <c r="D36" s="76" t="s">
        <v>620</v>
      </c>
      <c r="E36" s="76" t="s">
        <v>621</v>
      </c>
      <c r="F36" s="73" t="s">
        <v>53</v>
      </c>
      <c r="G36" s="31" t="b">
        <v>0</v>
      </c>
      <c r="H36" s="31"/>
      <c r="I36" s="50"/>
      <c r="J36" s="31" t="b">
        <v>0</v>
      </c>
      <c r="K36" s="31"/>
      <c r="L36" s="74" t="s">
        <v>99</v>
      </c>
      <c r="M36" s="73" t="s">
        <v>623</v>
      </c>
      <c r="N36" s="73"/>
      <c r="O36" s="76"/>
      <c r="P36" s="77">
        <v>43101</v>
      </c>
      <c r="Q36" s="77">
        <v>43465</v>
      </c>
      <c r="R36" s="76"/>
      <c r="S36" s="73" t="b">
        <v>0</v>
      </c>
      <c r="T36" s="78">
        <v>25</v>
      </c>
      <c r="U36" s="78">
        <v>1100</v>
      </c>
    </row>
    <row r="37" spans="2:21">
      <c r="B37" s="73">
        <f>IF(TaxEvents[[#This Row],[Active]]=TRUE,1,0)</f>
        <v>1</v>
      </c>
      <c r="C37" s="75" t="b">
        <v>1</v>
      </c>
      <c r="D37" s="76" t="s">
        <v>620</v>
      </c>
      <c r="E37" s="76" t="s">
        <v>621</v>
      </c>
      <c r="F37" s="73" t="s">
        <v>53</v>
      </c>
      <c r="G37" s="31" t="b">
        <v>0</v>
      </c>
      <c r="H37" s="31"/>
      <c r="I37" s="50"/>
      <c r="J37" s="31" t="b">
        <v>0</v>
      </c>
      <c r="K37" s="31"/>
      <c r="L37" s="74" t="s">
        <v>99</v>
      </c>
      <c r="M37" s="73" t="s">
        <v>624</v>
      </c>
      <c r="N37" s="73"/>
      <c r="O37" s="76"/>
      <c r="P37" s="77">
        <v>43466</v>
      </c>
      <c r="Q37" s="77">
        <v>43830</v>
      </c>
      <c r="R37" s="76"/>
      <c r="S37" s="73" t="b">
        <v>0</v>
      </c>
      <c r="T37" s="78">
        <v>25</v>
      </c>
      <c r="U37" s="78">
        <v>1101</v>
      </c>
    </row>
    <row r="38" spans="2:21">
      <c r="B38" s="73">
        <f>IF(TaxEvents[[#This Row],[Active]]=TRUE,1,0)</f>
        <v>1</v>
      </c>
      <c r="C38" s="75" t="b">
        <v>1</v>
      </c>
      <c r="D38" s="76" t="s">
        <v>620</v>
      </c>
      <c r="E38" s="76" t="s">
        <v>621</v>
      </c>
      <c r="F38" s="73" t="s">
        <v>53</v>
      </c>
      <c r="G38" s="31" t="b">
        <v>0</v>
      </c>
      <c r="H38" s="31"/>
      <c r="I38" s="50"/>
      <c r="J38" s="31" t="b">
        <v>0</v>
      </c>
      <c r="K38" s="31"/>
      <c r="L38" s="74" t="s">
        <v>99</v>
      </c>
      <c r="M38" s="73" t="s">
        <v>625</v>
      </c>
      <c r="N38" s="73"/>
      <c r="O38" s="76"/>
      <c r="P38" s="77">
        <v>43831</v>
      </c>
      <c r="Q38" s="77">
        <v>44196</v>
      </c>
      <c r="R38" s="76"/>
      <c r="S38" s="73" t="b">
        <v>0</v>
      </c>
      <c r="T38" s="78">
        <v>25</v>
      </c>
      <c r="U38" s="78">
        <v>1102</v>
      </c>
    </row>
    <row r="39" spans="2:21">
      <c r="B39" s="73">
        <f>IF(TaxEvents[[#This Row],[Active]]=TRUE,1,0)</f>
        <v>1</v>
      </c>
      <c r="C39" s="75" t="b">
        <v>1</v>
      </c>
      <c r="D39" s="76" t="s">
        <v>620</v>
      </c>
      <c r="E39" s="76" t="s">
        <v>621</v>
      </c>
      <c r="F39" s="73" t="s">
        <v>53</v>
      </c>
      <c r="G39" s="31" t="b">
        <v>0</v>
      </c>
      <c r="H39" s="31"/>
      <c r="I39" s="50"/>
      <c r="J39" s="31" t="b">
        <v>0</v>
      </c>
      <c r="K39" s="31"/>
      <c r="L39" s="74" t="s">
        <v>99</v>
      </c>
      <c r="M39" s="73" t="s">
        <v>626</v>
      </c>
      <c r="N39" s="73"/>
      <c r="O39" s="76"/>
      <c r="P39" s="77">
        <v>44197</v>
      </c>
      <c r="Q39" s="77">
        <v>44561</v>
      </c>
      <c r="R39" s="76"/>
      <c r="S39" s="73" t="b">
        <v>0</v>
      </c>
      <c r="T39" s="78">
        <v>25</v>
      </c>
      <c r="U39" s="78">
        <v>1103</v>
      </c>
    </row>
    <row r="40" spans="2:21">
      <c r="B40" s="73">
        <f>IF(TaxEvents[[#This Row],[Active]]=TRUE,1,0)</f>
        <v>1</v>
      </c>
      <c r="C40" s="75" t="b">
        <v>1</v>
      </c>
      <c r="D40" s="76" t="s">
        <v>627</v>
      </c>
      <c r="E40" s="76" t="s">
        <v>621</v>
      </c>
      <c r="F40" s="73" t="s">
        <v>53</v>
      </c>
      <c r="G40" s="31" t="b">
        <v>0</v>
      </c>
      <c r="H40" s="31"/>
      <c r="I40" s="50"/>
      <c r="J40" s="31" t="b">
        <v>0</v>
      </c>
      <c r="K40" s="31"/>
      <c r="L40" s="74" t="s">
        <v>99</v>
      </c>
      <c r="M40" s="73" t="s">
        <v>610</v>
      </c>
      <c r="N40" s="73"/>
      <c r="O40" s="76"/>
      <c r="P40" s="77">
        <v>42736</v>
      </c>
      <c r="Q40" s="77">
        <v>43100</v>
      </c>
      <c r="R40" s="76"/>
      <c r="S40" s="73" t="b">
        <v>0</v>
      </c>
      <c r="T40" s="78">
        <v>25</v>
      </c>
      <c r="U40" s="78">
        <v>1104</v>
      </c>
    </row>
    <row r="41" spans="2:21">
      <c r="B41" s="73">
        <f>IF(TaxEvents[[#This Row],[Active]]=TRUE,1,0)</f>
        <v>1</v>
      </c>
      <c r="C41" s="75" t="b">
        <v>1</v>
      </c>
      <c r="D41" s="76" t="s">
        <v>627</v>
      </c>
      <c r="E41" s="76" t="s">
        <v>621</v>
      </c>
      <c r="F41" s="73" t="s">
        <v>53</v>
      </c>
      <c r="G41" s="31" t="b">
        <v>0</v>
      </c>
      <c r="H41" s="31"/>
      <c r="I41" s="50"/>
      <c r="J41" s="31" t="b">
        <v>0</v>
      </c>
      <c r="K41" s="31"/>
      <c r="L41" s="74" t="s">
        <v>99</v>
      </c>
      <c r="M41" s="73" t="s">
        <v>610</v>
      </c>
      <c r="N41" s="73"/>
      <c r="O41" s="76"/>
      <c r="P41" s="77">
        <v>43101</v>
      </c>
      <c r="Q41" s="77">
        <v>43465</v>
      </c>
      <c r="R41" s="76"/>
      <c r="S41" s="73" t="b">
        <v>0</v>
      </c>
      <c r="T41" s="78">
        <v>25</v>
      </c>
      <c r="U41" s="78">
        <v>1105</v>
      </c>
    </row>
    <row r="42" spans="2:21">
      <c r="B42" s="73">
        <f>IF(TaxEvents[[#This Row],[Active]]=TRUE,1,0)</f>
        <v>1</v>
      </c>
      <c r="C42" s="75" t="b">
        <v>1</v>
      </c>
      <c r="D42" s="76" t="s">
        <v>627</v>
      </c>
      <c r="E42" s="76" t="s">
        <v>621</v>
      </c>
      <c r="F42" s="73" t="s">
        <v>53</v>
      </c>
      <c r="G42" s="31" t="b">
        <v>0</v>
      </c>
      <c r="H42" s="31"/>
      <c r="I42" s="50"/>
      <c r="J42" s="31" t="b">
        <v>0</v>
      </c>
      <c r="K42" s="31"/>
      <c r="L42" s="74" t="s">
        <v>99</v>
      </c>
      <c r="M42" s="73" t="s">
        <v>600</v>
      </c>
      <c r="N42" s="73"/>
      <c r="O42" s="76"/>
      <c r="P42" s="77">
        <v>43466</v>
      </c>
      <c r="Q42" s="77">
        <v>43830</v>
      </c>
      <c r="R42" s="76"/>
      <c r="S42" s="73" t="b">
        <v>0</v>
      </c>
      <c r="T42" s="78">
        <v>25</v>
      </c>
      <c r="U42" s="78">
        <v>1106</v>
      </c>
    </row>
    <row r="43" spans="2:21">
      <c r="B43" s="73">
        <f>IF(TaxEvents[[#This Row],[Active]]=TRUE,1,0)</f>
        <v>1</v>
      </c>
      <c r="C43" s="75" t="b">
        <v>1</v>
      </c>
      <c r="D43" s="76" t="s">
        <v>627</v>
      </c>
      <c r="E43" s="76" t="s">
        <v>621</v>
      </c>
      <c r="F43" s="73" t="s">
        <v>53</v>
      </c>
      <c r="G43" s="31" t="b">
        <v>0</v>
      </c>
      <c r="H43" s="31"/>
      <c r="I43" s="50"/>
      <c r="J43" s="31" t="b">
        <v>0</v>
      </c>
      <c r="K43" s="31"/>
      <c r="L43" s="74" t="s">
        <v>99</v>
      </c>
      <c r="M43" s="73" t="s">
        <v>599</v>
      </c>
      <c r="N43" s="73"/>
      <c r="O43" s="76"/>
      <c r="P43" s="77">
        <v>43831</v>
      </c>
      <c r="Q43" s="77">
        <v>44196</v>
      </c>
      <c r="R43" s="76"/>
      <c r="S43" s="73" t="b">
        <v>0</v>
      </c>
      <c r="T43" s="78">
        <v>25</v>
      </c>
      <c r="U43" s="78">
        <v>1107</v>
      </c>
    </row>
    <row r="44" spans="2:21">
      <c r="B44" s="73">
        <f>IF(TaxEvents[[#This Row],[Active]]=TRUE,1,0)</f>
        <v>1</v>
      </c>
      <c r="C44" s="75" t="b">
        <v>1</v>
      </c>
      <c r="D44" s="76" t="s">
        <v>627</v>
      </c>
      <c r="E44" s="76" t="s">
        <v>621</v>
      </c>
      <c r="F44" s="73" t="s">
        <v>53</v>
      </c>
      <c r="G44" s="31" t="b">
        <v>0</v>
      </c>
      <c r="H44" s="31"/>
      <c r="I44" s="50"/>
      <c r="J44" s="31" t="b">
        <v>0</v>
      </c>
      <c r="K44" s="31"/>
      <c r="L44" s="74" t="s">
        <v>99</v>
      </c>
      <c r="M44" s="73" t="s">
        <v>611</v>
      </c>
      <c r="N44" s="73"/>
      <c r="O44" s="76"/>
      <c r="P44" s="77">
        <v>44197</v>
      </c>
      <c r="Q44" s="77">
        <v>44561</v>
      </c>
      <c r="R44" s="76"/>
      <c r="S44" s="73" t="b">
        <v>0</v>
      </c>
      <c r="T44" s="78">
        <v>25</v>
      </c>
      <c r="U44" s="78">
        <v>1108</v>
      </c>
    </row>
    <row r="45" spans="2:21">
      <c r="B45" s="73">
        <f>IF(TaxEvents[[#This Row],[Active]]=TRUE,1,0)</f>
        <v>1</v>
      </c>
      <c r="C45" s="75" t="b">
        <v>1</v>
      </c>
      <c r="D45" s="76" t="s">
        <v>607</v>
      </c>
      <c r="E45" s="76" t="s">
        <v>608</v>
      </c>
      <c r="F45" s="73" t="s">
        <v>49</v>
      </c>
      <c r="G45" s="31" t="b">
        <v>0</v>
      </c>
      <c r="H45" s="31"/>
      <c r="I45" s="50"/>
      <c r="J45" s="31" t="b">
        <v>0</v>
      </c>
      <c r="K45" s="31"/>
      <c r="L45" s="74" t="s">
        <v>609</v>
      </c>
      <c r="M45" s="73" t="s">
        <v>610</v>
      </c>
      <c r="N45" s="73"/>
      <c r="O45" s="76"/>
      <c r="P45" s="77">
        <v>43101</v>
      </c>
      <c r="Q45" s="77">
        <v>43465</v>
      </c>
      <c r="R45" s="76"/>
      <c r="S45" s="73" t="b">
        <v>0</v>
      </c>
      <c r="T45" s="78">
        <v>25</v>
      </c>
      <c r="U45" s="78">
        <v>1109</v>
      </c>
    </row>
    <row r="46" spans="2:21">
      <c r="B46" s="73">
        <f>IF(TaxEvents[[#This Row],[Active]]=TRUE,1,0)</f>
        <v>1</v>
      </c>
      <c r="C46" s="75" t="b">
        <v>1</v>
      </c>
      <c r="D46" s="76" t="s">
        <v>607</v>
      </c>
      <c r="E46" s="76" t="s">
        <v>608</v>
      </c>
      <c r="F46" s="73" t="s">
        <v>49</v>
      </c>
      <c r="G46" s="31" t="b">
        <v>0</v>
      </c>
      <c r="H46" s="31"/>
      <c r="I46" s="50"/>
      <c r="J46" s="31" t="b">
        <v>0</v>
      </c>
      <c r="K46" s="31"/>
      <c r="L46" s="74" t="s">
        <v>609</v>
      </c>
      <c r="M46" s="73" t="s">
        <v>599</v>
      </c>
      <c r="N46" s="73"/>
      <c r="O46" s="76"/>
      <c r="P46" s="77">
        <v>43466</v>
      </c>
      <c r="Q46" s="77">
        <v>43830</v>
      </c>
      <c r="R46" s="76"/>
      <c r="S46" s="73" t="b">
        <v>0</v>
      </c>
      <c r="T46" s="78">
        <v>25</v>
      </c>
      <c r="U46" s="78">
        <v>1110</v>
      </c>
    </row>
    <row r="47" spans="2:21">
      <c r="B47" s="73">
        <f>IF(TaxEvents[[#This Row],[Active]]=TRUE,1,0)</f>
        <v>1</v>
      </c>
      <c r="C47" s="75" t="b">
        <v>1</v>
      </c>
      <c r="D47" s="76" t="s">
        <v>607</v>
      </c>
      <c r="E47" s="76" t="s">
        <v>608</v>
      </c>
      <c r="F47" s="73" t="s">
        <v>49</v>
      </c>
      <c r="G47" s="31" t="b">
        <v>0</v>
      </c>
      <c r="H47" s="31"/>
      <c r="I47" s="50"/>
      <c r="J47" s="31" t="b">
        <v>0</v>
      </c>
      <c r="K47" s="31"/>
      <c r="L47" s="74" t="s">
        <v>609</v>
      </c>
      <c r="M47" s="73" t="s">
        <v>611</v>
      </c>
      <c r="N47" s="73"/>
      <c r="O47" s="76"/>
      <c r="P47" s="77">
        <v>43831</v>
      </c>
      <c r="Q47" s="77">
        <v>44196</v>
      </c>
      <c r="R47" s="76"/>
      <c r="S47" s="73" t="b">
        <v>0</v>
      </c>
      <c r="T47" s="78">
        <v>25</v>
      </c>
      <c r="U47" s="78">
        <v>1111</v>
      </c>
    </row>
    <row r="48" spans="2:21">
      <c r="B48" s="73">
        <f>IF(TaxEvents[[#This Row],[Active]]=TRUE,1,0)</f>
        <v>1</v>
      </c>
      <c r="C48" s="75" t="b">
        <v>1</v>
      </c>
      <c r="D48" s="76" t="s">
        <v>607</v>
      </c>
      <c r="E48" s="76" t="s">
        <v>608</v>
      </c>
      <c r="F48" s="73" t="s">
        <v>49</v>
      </c>
      <c r="G48" s="31" t="b">
        <v>0</v>
      </c>
      <c r="H48" s="31"/>
      <c r="I48" s="50"/>
      <c r="J48" s="31" t="b">
        <v>0</v>
      </c>
      <c r="K48" s="31"/>
      <c r="L48" s="74" t="s">
        <v>609</v>
      </c>
      <c r="M48" s="73" t="s">
        <v>612</v>
      </c>
      <c r="N48" s="73"/>
      <c r="O48" s="76"/>
      <c r="P48" s="77">
        <v>44197</v>
      </c>
      <c r="Q48" s="77">
        <v>44561</v>
      </c>
      <c r="R48" s="76"/>
      <c r="S48" s="73" t="b">
        <v>0</v>
      </c>
      <c r="T48" s="78">
        <v>25</v>
      </c>
      <c r="U48" s="78">
        <v>1112</v>
      </c>
    </row>
    <row r="49" spans="2:21">
      <c r="B49" s="73">
        <f>IF(TaxEvents[[#This Row],[Active]]=TRUE,1,0)</f>
        <v>1</v>
      </c>
      <c r="C49" s="75" t="b">
        <v>1</v>
      </c>
      <c r="D49" s="76" t="s">
        <v>607</v>
      </c>
      <c r="E49" s="76" t="s">
        <v>608</v>
      </c>
      <c r="F49" s="73" t="s">
        <v>49</v>
      </c>
      <c r="G49" s="31" t="b">
        <v>0</v>
      </c>
      <c r="H49" s="31"/>
      <c r="I49" s="50"/>
      <c r="J49" s="31" t="b">
        <v>0</v>
      </c>
      <c r="K49" s="31"/>
      <c r="L49" s="74" t="s">
        <v>609</v>
      </c>
      <c r="M49" s="73" t="s">
        <v>613</v>
      </c>
      <c r="N49" s="73"/>
      <c r="O49" s="76"/>
      <c r="P49" s="77">
        <v>44562</v>
      </c>
      <c r="Q49" s="77">
        <v>44926</v>
      </c>
      <c r="R49" s="76"/>
      <c r="S49" s="73" t="b">
        <v>0</v>
      </c>
      <c r="T49" s="78">
        <v>25</v>
      </c>
      <c r="U49" s="78">
        <v>1113</v>
      </c>
    </row>
    <row r="50" spans="2:21">
      <c r="B50" s="73">
        <f>IF(TaxEvents[[#This Row],[Active]]=TRUE,1,0)</f>
        <v>1</v>
      </c>
      <c r="C50" s="75" t="b">
        <v>1</v>
      </c>
      <c r="D50" s="76" t="s">
        <v>614</v>
      </c>
      <c r="E50" s="76" t="s">
        <v>615</v>
      </c>
      <c r="F50" s="73" t="s">
        <v>49</v>
      </c>
      <c r="G50" s="31" t="b">
        <v>0</v>
      </c>
      <c r="H50" s="31"/>
      <c r="I50" s="50"/>
      <c r="J50" s="31" t="b">
        <v>0</v>
      </c>
      <c r="K50" s="31"/>
      <c r="L50" s="74" t="s">
        <v>54</v>
      </c>
      <c r="M50" s="73" t="s">
        <v>599</v>
      </c>
      <c r="N50" s="73"/>
      <c r="O50" s="76"/>
      <c r="P50" s="77">
        <v>42736</v>
      </c>
      <c r="Q50" s="77">
        <v>43100</v>
      </c>
      <c r="R50" s="76"/>
      <c r="S50" s="73" t="b">
        <v>0</v>
      </c>
      <c r="T50" s="78">
        <v>25</v>
      </c>
      <c r="U50" s="78">
        <v>1114</v>
      </c>
    </row>
    <row r="51" spans="2:21">
      <c r="B51" s="73">
        <f>IF(TaxEvents[[#This Row],[Active]]=TRUE,1,0)</f>
        <v>1</v>
      </c>
      <c r="C51" s="75" t="b">
        <v>1</v>
      </c>
      <c r="D51" s="76" t="s">
        <v>614</v>
      </c>
      <c r="E51" s="76" t="s">
        <v>615</v>
      </c>
      <c r="F51" s="73" t="s">
        <v>49</v>
      </c>
      <c r="G51" s="31" t="b">
        <v>0</v>
      </c>
      <c r="H51" s="31"/>
      <c r="I51" s="50"/>
      <c r="J51" s="31" t="b">
        <v>0</v>
      </c>
      <c r="K51" s="31"/>
      <c r="L51" s="74" t="s">
        <v>54</v>
      </c>
      <c r="M51" s="73" t="s">
        <v>611</v>
      </c>
      <c r="N51" s="73"/>
      <c r="O51" s="76"/>
      <c r="P51" s="77">
        <v>43101</v>
      </c>
      <c r="Q51" s="77">
        <v>43465</v>
      </c>
      <c r="R51" s="76"/>
      <c r="S51" s="73" t="b">
        <v>0</v>
      </c>
      <c r="T51" s="78">
        <v>25</v>
      </c>
      <c r="U51" s="78">
        <v>1115</v>
      </c>
    </row>
    <row r="52" spans="2:21">
      <c r="B52" s="73">
        <f>IF(TaxEvents[[#This Row],[Active]]=TRUE,1,0)</f>
        <v>1</v>
      </c>
      <c r="C52" s="75" t="b">
        <v>1</v>
      </c>
      <c r="D52" s="76" t="s">
        <v>614</v>
      </c>
      <c r="E52" s="76" t="s">
        <v>615</v>
      </c>
      <c r="F52" s="73" t="s">
        <v>49</v>
      </c>
      <c r="G52" s="31" t="b">
        <v>0</v>
      </c>
      <c r="H52" s="31"/>
      <c r="I52" s="50"/>
      <c r="J52" s="31" t="b">
        <v>0</v>
      </c>
      <c r="K52" s="31"/>
      <c r="L52" s="74" t="s">
        <v>54</v>
      </c>
      <c r="M52" s="73" t="s">
        <v>611</v>
      </c>
      <c r="N52" s="73"/>
      <c r="O52" s="76"/>
      <c r="P52" s="77">
        <v>43466</v>
      </c>
      <c r="Q52" s="77">
        <v>43830</v>
      </c>
      <c r="R52" s="76"/>
      <c r="S52" s="73" t="b">
        <v>0</v>
      </c>
      <c r="T52" s="78">
        <v>25</v>
      </c>
      <c r="U52" s="78">
        <v>1116</v>
      </c>
    </row>
    <row r="53" spans="2:21">
      <c r="B53" s="73">
        <f>IF(TaxEvents[[#This Row],[Active]]=TRUE,1,0)</f>
        <v>1</v>
      </c>
      <c r="C53" s="75" t="b">
        <v>1</v>
      </c>
      <c r="D53" s="76" t="s">
        <v>614</v>
      </c>
      <c r="E53" s="76" t="s">
        <v>615</v>
      </c>
      <c r="F53" s="73" t="s">
        <v>49</v>
      </c>
      <c r="G53" s="31" t="b">
        <v>0</v>
      </c>
      <c r="H53" s="31"/>
      <c r="I53" s="50"/>
      <c r="J53" s="31" t="b">
        <v>0</v>
      </c>
      <c r="K53" s="31"/>
      <c r="L53" s="74" t="s">
        <v>54</v>
      </c>
      <c r="M53" s="73" t="s">
        <v>612</v>
      </c>
      <c r="N53" s="73"/>
      <c r="O53" s="76"/>
      <c r="P53" s="77">
        <v>43831</v>
      </c>
      <c r="Q53" s="77">
        <v>44196</v>
      </c>
      <c r="R53" s="76"/>
      <c r="S53" s="73" t="b">
        <v>0</v>
      </c>
      <c r="T53" s="78">
        <v>25</v>
      </c>
      <c r="U53" s="78">
        <v>1117</v>
      </c>
    </row>
    <row r="54" spans="2:21">
      <c r="B54" s="73">
        <f>IF(TaxEvents[[#This Row],[Active]]=TRUE,1,0)</f>
        <v>1</v>
      </c>
      <c r="C54" s="75" t="b">
        <v>1</v>
      </c>
      <c r="D54" s="76" t="s">
        <v>614</v>
      </c>
      <c r="E54" s="76" t="s">
        <v>615</v>
      </c>
      <c r="F54" s="73" t="s">
        <v>49</v>
      </c>
      <c r="G54" s="31" t="b">
        <v>0</v>
      </c>
      <c r="H54" s="31"/>
      <c r="I54" s="50"/>
      <c r="J54" s="31" t="b">
        <v>0</v>
      </c>
      <c r="K54" s="31"/>
      <c r="L54" s="74" t="s">
        <v>54</v>
      </c>
      <c r="M54" s="73" t="s">
        <v>613</v>
      </c>
      <c r="N54" s="73"/>
      <c r="O54" s="76"/>
      <c r="P54" s="77">
        <v>44197</v>
      </c>
      <c r="Q54" s="77">
        <v>44561</v>
      </c>
      <c r="R54" s="76"/>
      <c r="S54" s="73" t="b">
        <v>0</v>
      </c>
      <c r="T54" s="78">
        <v>25</v>
      </c>
      <c r="U54" s="78">
        <v>1118</v>
      </c>
    </row>
    <row r="55" spans="2:21">
      <c r="B55" s="73">
        <f>IF(TaxEvents[[#This Row],[Active]]=TRUE,1,0)</f>
        <v>1</v>
      </c>
      <c r="C55" s="75" t="b">
        <v>1</v>
      </c>
      <c r="D55" s="76" t="s">
        <v>616</v>
      </c>
      <c r="E55" s="76" t="s">
        <v>617</v>
      </c>
      <c r="F55" s="73" t="s">
        <v>49</v>
      </c>
      <c r="G55" s="31" t="b">
        <v>0</v>
      </c>
      <c r="H55" s="31"/>
      <c r="I55" s="50"/>
      <c r="J55" s="31" t="b">
        <v>0</v>
      </c>
      <c r="K55" s="31"/>
      <c r="L55" s="74" t="s">
        <v>55</v>
      </c>
      <c r="M55" s="73" t="s">
        <v>611</v>
      </c>
      <c r="N55" s="73"/>
      <c r="O55" s="76"/>
      <c r="P55" s="77">
        <v>42370</v>
      </c>
      <c r="Q55" s="77">
        <v>42735</v>
      </c>
      <c r="R55" s="76"/>
      <c r="S55" s="73" t="b">
        <v>0</v>
      </c>
      <c r="T55" s="78">
        <v>25</v>
      </c>
      <c r="U55" s="78">
        <v>1119</v>
      </c>
    </row>
    <row r="56" spans="2:21">
      <c r="B56" s="73">
        <f>IF(TaxEvents[[#This Row],[Active]]=TRUE,1,0)</f>
        <v>1</v>
      </c>
      <c r="C56" s="75" t="b">
        <v>1</v>
      </c>
      <c r="D56" s="76" t="s">
        <v>616</v>
      </c>
      <c r="E56" s="76" t="s">
        <v>617</v>
      </c>
      <c r="F56" s="73" t="s">
        <v>49</v>
      </c>
      <c r="G56" s="31" t="b">
        <v>0</v>
      </c>
      <c r="H56" s="31"/>
      <c r="I56" s="50"/>
      <c r="J56" s="31" t="b">
        <v>0</v>
      </c>
      <c r="K56" s="31"/>
      <c r="L56" s="74" t="s">
        <v>55</v>
      </c>
      <c r="M56" s="73" t="s">
        <v>612</v>
      </c>
      <c r="N56" s="73"/>
      <c r="O56" s="76"/>
      <c r="P56" s="77">
        <v>42736</v>
      </c>
      <c r="Q56" s="77">
        <v>43100</v>
      </c>
      <c r="R56" s="76"/>
      <c r="S56" s="73" t="b">
        <v>0</v>
      </c>
      <c r="T56" s="78">
        <v>25</v>
      </c>
      <c r="U56" s="78">
        <v>1120</v>
      </c>
    </row>
    <row r="57" spans="2:21">
      <c r="B57" s="73">
        <f>IF(TaxEvents[[#This Row],[Active]]=TRUE,1,0)</f>
        <v>1</v>
      </c>
      <c r="C57" s="75" t="b">
        <v>1</v>
      </c>
      <c r="D57" s="76" t="s">
        <v>616</v>
      </c>
      <c r="E57" s="76" t="s">
        <v>617</v>
      </c>
      <c r="F57" s="73" t="s">
        <v>49</v>
      </c>
      <c r="G57" s="31" t="b">
        <v>0</v>
      </c>
      <c r="H57" s="31"/>
      <c r="I57" s="50"/>
      <c r="J57" s="31" t="b">
        <v>0</v>
      </c>
      <c r="K57" s="31"/>
      <c r="L57" s="74" t="s">
        <v>55</v>
      </c>
      <c r="M57" s="73" t="s">
        <v>613</v>
      </c>
      <c r="N57" s="73"/>
      <c r="O57" s="76"/>
      <c r="P57" s="77">
        <v>43101</v>
      </c>
      <c r="Q57" s="77">
        <v>43465</v>
      </c>
      <c r="R57" s="76"/>
      <c r="S57" s="73" t="b">
        <v>0</v>
      </c>
      <c r="T57" s="78">
        <v>25</v>
      </c>
      <c r="U57" s="78">
        <v>1121</v>
      </c>
    </row>
    <row r="58" spans="2:21">
      <c r="B58" s="73">
        <f>IF(TaxEvents[[#This Row],[Active]]=TRUE,1,0)</f>
        <v>1</v>
      </c>
      <c r="C58" s="75" t="b">
        <v>1</v>
      </c>
      <c r="D58" s="76" t="s">
        <v>616</v>
      </c>
      <c r="E58" s="76" t="s">
        <v>617</v>
      </c>
      <c r="F58" s="73" t="s">
        <v>49</v>
      </c>
      <c r="G58" s="31" t="b">
        <v>0</v>
      </c>
      <c r="H58" s="31"/>
      <c r="I58" s="50"/>
      <c r="J58" s="31" t="b">
        <v>0</v>
      </c>
      <c r="K58" s="31"/>
      <c r="L58" s="74" t="s">
        <v>55</v>
      </c>
      <c r="M58" s="73" t="s">
        <v>618</v>
      </c>
      <c r="N58" s="73"/>
      <c r="O58" s="76"/>
      <c r="P58" s="77">
        <v>43466</v>
      </c>
      <c r="Q58" s="77">
        <v>43830</v>
      </c>
      <c r="R58" s="76"/>
      <c r="S58" s="73" t="b">
        <v>0</v>
      </c>
      <c r="T58" s="78">
        <v>25</v>
      </c>
      <c r="U58" s="78">
        <v>1122</v>
      </c>
    </row>
    <row r="59" spans="2:21">
      <c r="B59" s="73">
        <f>IF(TaxEvents[[#This Row],[Active]]=TRUE,1,0)</f>
        <v>1</v>
      </c>
      <c r="C59" s="75" t="b">
        <v>1</v>
      </c>
      <c r="D59" s="76" t="s">
        <v>616</v>
      </c>
      <c r="E59" s="76" t="s">
        <v>617</v>
      </c>
      <c r="F59" s="73" t="s">
        <v>49</v>
      </c>
      <c r="G59" s="31" t="b">
        <v>0</v>
      </c>
      <c r="H59" s="31"/>
      <c r="I59" s="50"/>
      <c r="J59" s="31" t="b">
        <v>0</v>
      </c>
      <c r="K59" s="31"/>
      <c r="L59" s="74" t="s">
        <v>55</v>
      </c>
      <c r="M59" s="73" t="s">
        <v>619</v>
      </c>
      <c r="N59" s="73"/>
      <c r="O59" s="76"/>
      <c r="P59" s="77">
        <v>43831</v>
      </c>
      <c r="Q59" s="77"/>
      <c r="R59" s="76"/>
      <c r="S59" s="73" t="b">
        <v>0</v>
      </c>
      <c r="T59" s="78">
        <v>25</v>
      </c>
      <c r="U59" s="78">
        <v>1123</v>
      </c>
    </row>
    <row r="60" spans="2:21">
      <c r="B60" s="73">
        <f>IF(TaxEvents[[#This Row],[Active]]=TRUE,1,0)</f>
        <v>1</v>
      </c>
      <c r="C60" s="75" t="b">
        <v>1</v>
      </c>
      <c r="D60" s="76" t="s">
        <v>620</v>
      </c>
      <c r="E60" s="76" t="s">
        <v>621</v>
      </c>
      <c r="F60" s="73" t="s">
        <v>53</v>
      </c>
      <c r="G60" s="31" t="b">
        <v>0</v>
      </c>
      <c r="H60" s="31"/>
      <c r="I60" s="50"/>
      <c r="J60" s="31" t="b">
        <v>0</v>
      </c>
      <c r="K60" s="31"/>
      <c r="L60" s="74"/>
      <c r="M60" s="73" t="s">
        <v>610</v>
      </c>
      <c r="N60" s="73"/>
      <c r="O60" s="76"/>
      <c r="P60" s="77">
        <v>42736</v>
      </c>
      <c r="Q60" s="77">
        <v>43100</v>
      </c>
      <c r="R60" s="76"/>
      <c r="S60" s="73" t="b">
        <v>0</v>
      </c>
      <c r="T60" s="78">
        <v>25</v>
      </c>
      <c r="U60" s="78">
        <v>1124</v>
      </c>
    </row>
    <row r="61" spans="2:21">
      <c r="B61" s="73">
        <f>IF(TaxEvents[[#This Row],[Active]]=TRUE,1,0)</f>
        <v>1</v>
      </c>
      <c r="C61" s="75" t="b">
        <v>1</v>
      </c>
      <c r="D61" s="76" t="s">
        <v>620</v>
      </c>
      <c r="E61" s="76" t="s">
        <v>621</v>
      </c>
      <c r="F61" s="73" t="s">
        <v>53</v>
      </c>
      <c r="G61" s="31" t="b">
        <v>0</v>
      </c>
      <c r="H61" s="31"/>
      <c r="I61" s="50"/>
      <c r="J61" s="31" t="b">
        <v>0</v>
      </c>
      <c r="K61" s="31"/>
      <c r="L61" s="74"/>
      <c r="M61" s="73" t="s">
        <v>599</v>
      </c>
      <c r="N61" s="73"/>
      <c r="O61" s="76"/>
      <c r="P61" s="77">
        <v>43101</v>
      </c>
      <c r="Q61" s="77">
        <v>43465</v>
      </c>
      <c r="R61" s="76"/>
      <c r="S61" s="73" t="b">
        <v>0</v>
      </c>
      <c r="T61" s="78">
        <v>25</v>
      </c>
      <c r="U61" s="78">
        <v>1125</v>
      </c>
    </row>
    <row r="62" spans="2:21">
      <c r="B62" s="73">
        <f>IF(TaxEvents[[#This Row],[Active]]=TRUE,1,0)</f>
        <v>1</v>
      </c>
      <c r="C62" s="75" t="b">
        <v>1</v>
      </c>
      <c r="D62" s="76" t="s">
        <v>620</v>
      </c>
      <c r="E62" s="76" t="s">
        <v>621</v>
      </c>
      <c r="F62" s="73" t="s">
        <v>53</v>
      </c>
      <c r="G62" s="31" t="b">
        <v>0</v>
      </c>
      <c r="H62" s="31"/>
      <c r="I62" s="50"/>
      <c r="J62" s="31" t="b">
        <v>0</v>
      </c>
      <c r="K62" s="31"/>
      <c r="L62" s="74"/>
      <c r="M62" s="73" t="s">
        <v>611</v>
      </c>
      <c r="N62" s="73"/>
      <c r="O62" s="76"/>
      <c r="P62" s="77">
        <v>43466</v>
      </c>
      <c r="Q62" s="77">
        <v>43830</v>
      </c>
      <c r="R62" s="76"/>
      <c r="S62" s="73" t="b">
        <v>0</v>
      </c>
      <c r="T62" s="78">
        <v>25</v>
      </c>
      <c r="U62" s="78">
        <v>1126</v>
      </c>
    </row>
    <row r="63" spans="2:21">
      <c r="B63" s="73">
        <f>IF(TaxEvents[[#This Row],[Active]]=TRUE,1,0)</f>
        <v>1</v>
      </c>
      <c r="C63" s="75" t="b">
        <v>1</v>
      </c>
      <c r="D63" s="76" t="s">
        <v>620</v>
      </c>
      <c r="E63" s="76" t="s">
        <v>621</v>
      </c>
      <c r="F63" s="73" t="s">
        <v>53</v>
      </c>
      <c r="G63" s="31" t="b">
        <v>0</v>
      </c>
      <c r="H63" s="31"/>
      <c r="I63" s="50"/>
      <c r="J63" s="31" t="b">
        <v>0</v>
      </c>
      <c r="K63" s="31"/>
      <c r="L63" s="74"/>
      <c r="M63" s="73" t="s">
        <v>612</v>
      </c>
      <c r="N63" s="73"/>
      <c r="O63" s="76"/>
      <c r="P63" s="77">
        <v>43831</v>
      </c>
      <c r="Q63" s="77">
        <v>44196</v>
      </c>
      <c r="R63" s="76"/>
      <c r="S63" s="73" t="b">
        <v>0</v>
      </c>
      <c r="T63" s="78">
        <v>25</v>
      </c>
      <c r="U63" s="78">
        <v>1127</v>
      </c>
    </row>
    <row r="64" spans="2:21">
      <c r="B64" s="73">
        <f>IF(TaxEvents[[#This Row],[Active]]=TRUE,1,0)</f>
        <v>1</v>
      </c>
      <c r="C64" s="75" t="b">
        <v>1</v>
      </c>
      <c r="D64" s="76" t="s">
        <v>620</v>
      </c>
      <c r="E64" s="76" t="s">
        <v>621</v>
      </c>
      <c r="F64" s="73" t="s">
        <v>53</v>
      </c>
      <c r="G64" s="31" t="b">
        <v>0</v>
      </c>
      <c r="H64" s="31"/>
      <c r="I64" s="50"/>
      <c r="J64" s="31" t="b">
        <v>0</v>
      </c>
      <c r="K64" s="31"/>
      <c r="L64" s="74"/>
      <c r="M64" s="73" t="s">
        <v>613</v>
      </c>
      <c r="N64" s="73"/>
      <c r="O64" s="76"/>
      <c r="P64" s="77">
        <v>44197</v>
      </c>
      <c r="Q64" s="77">
        <v>44561</v>
      </c>
      <c r="R64" s="76"/>
      <c r="S64" s="73" t="b">
        <v>0</v>
      </c>
      <c r="T64" s="78">
        <v>25</v>
      </c>
      <c r="U64" s="78">
        <v>1128</v>
      </c>
    </row>
    <row r="65" spans="2:21">
      <c r="B65" s="73">
        <f>IF(TaxEvents[[#This Row],[Active]]=TRUE,1,0)</f>
        <v>1</v>
      </c>
      <c r="C65" s="75" t="b">
        <v>1</v>
      </c>
      <c r="D65" s="76" t="s">
        <v>620</v>
      </c>
      <c r="E65" s="76" t="s">
        <v>621</v>
      </c>
      <c r="F65" s="73" t="s">
        <v>53</v>
      </c>
      <c r="G65" s="31" t="b">
        <v>0</v>
      </c>
      <c r="H65" s="31"/>
      <c r="I65" s="50"/>
      <c r="J65" s="31" t="b">
        <v>0</v>
      </c>
      <c r="K65" s="31"/>
      <c r="L65" s="74" t="s">
        <v>98</v>
      </c>
      <c r="M65" s="73" t="s">
        <v>622</v>
      </c>
      <c r="N65" s="73"/>
      <c r="O65" s="76"/>
      <c r="P65" s="77">
        <v>42736</v>
      </c>
      <c r="Q65" s="77">
        <v>43100</v>
      </c>
      <c r="R65" s="76"/>
      <c r="S65" s="73" t="b">
        <v>0</v>
      </c>
      <c r="T65" s="78">
        <v>25</v>
      </c>
      <c r="U65" s="78">
        <v>1129</v>
      </c>
    </row>
    <row r="66" spans="2:21">
      <c r="B66" s="73">
        <f>IF(TaxEvents[[#This Row],[Active]]=TRUE,1,0)</f>
        <v>1</v>
      </c>
      <c r="C66" s="75" t="b">
        <v>1</v>
      </c>
      <c r="D66" s="76" t="s">
        <v>620</v>
      </c>
      <c r="E66" s="76" t="s">
        <v>621</v>
      </c>
      <c r="F66" s="73" t="s">
        <v>53</v>
      </c>
      <c r="G66" s="31" t="b">
        <v>0</v>
      </c>
      <c r="H66" s="31"/>
      <c r="I66" s="50"/>
      <c r="J66" s="31" t="b">
        <v>0</v>
      </c>
      <c r="K66" s="31"/>
      <c r="L66" s="74" t="s">
        <v>98</v>
      </c>
      <c r="M66" s="73" t="s">
        <v>623</v>
      </c>
      <c r="N66" s="73"/>
      <c r="O66" s="76"/>
      <c r="P66" s="77">
        <v>43101</v>
      </c>
      <c r="Q66" s="77">
        <v>43465</v>
      </c>
      <c r="R66" s="76"/>
      <c r="S66" s="73" t="b">
        <v>0</v>
      </c>
      <c r="T66" s="78">
        <v>25</v>
      </c>
      <c r="U66" s="78">
        <v>1130</v>
      </c>
    </row>
    <row r="67" spans="2:21">
      <c r="B67" s="73">
        <f>IF(TaxEvents[[#This Row],[Active]]=TRUE,1,0)</f>
        <v>1</v>
      </c>
      <c r="C67" s="75" t="b">
        <v>1</v>
      </c>
      <c r="D67" s="76" t="s">
        <v>620</v>
      </c>
      <c r="E67" s="76" t="s">
        <v>621</v>
      </c>
      <c r="F67" s="73" t="s">
        <v>53</v>
      </c>
      <c r="G67" s="31" t="b">
        <v>0</v>
      </c>
      <c r="H67" s="31"/>
      <c r="I67" s="50"/>
      <c r="J67" s="31" t="b">
        <v>0</v>
      </c>
      <c r="K67" s="31"/>
      <c r="L67" s="74" t="s">
        <v>98</v>
      </c>
      <c r="M67" s="73" t="s">
        <v>624</v>
      </c>
      <c r="N67" s="73"/>
      <c r="O67" s="76"/>
      <c r="P67" s="77">
        <v>43466</v>
      </c>
      <c r="Q67" s="77">
        <v>43830</v>
      </c>
      <c r="R67" s="76"/>
      <c r="S67" s="73" t="b">
        <v>0</v>
      </c>
      <c r="T67" s="78">
        <v>25</v>
      </c>
      <c r="U67" s="78">
        <v>1131</v>
      </c>
    </row>
    <row r="68" spans="2:21">
      <c r="B68" s="73">
        <f>IF(TaxEvents[[#This Row],[Active]]=TRUE,1,0)</f>
        <v>1</v>
      </c>
      <c r="C68" s="75" t="b">
        <v>1</v>
      </c>
      <c r="D68" s="76" t="s">
        <v>620</v>
      </c>
      <c r="E68" s="76" t="s">
        <v>621</v>
      </c>
      <c r="F68" s="73" t="s">
        <v>53</v>
      </c>
      <c r="G68" s="31" t="b">
        <v>0</v>
      </c>
      <c r="H68" s="31"/>
      <c r="I68" s="50"/>
      <c r="J68" s="31" t="b">
        <v>0</v>
      </c>
      <c r="K68" s="31"/>
      <c r="L68" s="74" t="s">
        <v>98</v>
      </c>
      <c r="M68" s="73" t="s">
        <v>625</v>
      </c>
      <c r="N68" s="73"/>
      <c r="O68" s="76"/>
      <c r="P68" s="77">
        <v>43831</v>
      </c>
      <c r="Q68" s="77">
        <v>44196</v>
      </c>
      <c r="R68" s="76"/>
      <c r="S68" s="73" t="b">
        <v>0</v>
      </c>
      <c r="T68" s="78">
        <v>25</v>
      </c>
      <c r="U68" s="78">
        <v>1132</v>
      </c>
    </row>
    <row r="69" spans="2:21">
      <c r="B69" s="73">
        <f>IF(TaxEvents[[#This Row],[Active]]=TRUE,1,0)</f>
        <v>1</v>
      </c>
      <c r="C69" s="75" t="b">
        <v>1</v>
      </c>
      <c r="D69" s="76" t="s">
        <v>620</v>
      </c>
      <c r="E69" s="76" t="s">
        <v>621</v>
      </c>
      <c r="F69" s="73" t="s">
        <v>53</v>
      </c>
      <c r="G69" s="31" t="b">
        <v>0</v>
      </c>
      <c r="H69" s="31"/>
      <c r="I69" s="50"/>
      <c r="J69" s="31" t="b">
        <v>0</v>
      </c>
      <c r="K69" s="31"/>
      <c r="L69" s="74" t="s">
        <v>98</v>
      </c>
      <c r="M69" s="73" t="s">
        <v>626</v>
      </c>
      <c r="N69" s="73"/>
      <c r="O69" s="76"/>
      <c r="P69" s="77">
        <v>44197</v>
      </c>
      <c r="Q69" s="77">
        <v>44561</v>
      </c>
      <c r="R69" s="76"/>
      <c r="S69" s="73" t="b">
        <v>0</v>
      </c>
      <c r="T69" s="78">
        <v>25</v>
      </c>
      <c r="U69" s="78">
        <v>1133</v>
      </c>
    </row>
    <row r="70" spans="2:21">
      <c r="B70" s="73">
        <f>IF(TaxEvents[[#This Row],[Active]]=TRUE,1,0)</f>
        <v>1</v>
      </c>
      <c r="C70" s="75" t="b">
        <v>1</v>
      </c>
      <c r="D70" s="76" t="s">
        <v>627</v>
      </c>
      <c r="E70" s="76" t="s">
        <v>621</v>
      </c>
      <c r="F70" s="73" t="s">
        <v>53</v>
      </c>
      <c r="G70" s="31" t="b">
        <v>0</v>
      </c>
      <c r="H70" s="31"/>
      <c r="I70" s="50"/>
      <c r="J70" s="31" t="b">
        <v>0</v>
      </c>
      <c r="K70" s="31"/>
      <c r="L70" s="74" t="s">
        <v>98</v>
      </c>
      <c r="M70" s="73" t="s">
        <v>628</v>
      </c>
      <c r="N70" s="73"/>
      <c r="O70" s="76"/>
      <c r="P70" s="77">
        <v>42736</v>
      </c>
      <c r="Q70" s="77">
        <v>43100</v>
      </c>
      <c r="R70" s="76"/>
      <c r="S70" s="73" t="b">
        <v>0</v>
      </c>
      <c r="T70" s="78">
        <v>25</v>
      </c>
      <c r="U70" s="78">
        <v>1134</v>
      </c>
    </row>
    <row r="71" spans="2:21">
      <c r="B71" s="73">
        <f>IF(TaxEvents[[#This Row],[Active]]=TRUE,1,0)</f>
        <v>1</v>
      </c>
      <c r="C71" s="75" t="b">
        <v>1</v>
      </c>
      <c r="D71" s="76" t="s">
        <v>627</v>
      </c>
      <c r="E71" s="76" t="s">
        <v>621</v>
      </c>
      <c r="F71" s="73" t="s">
        <v>53</v>
      </c>
      <c r="G71" s="31" t="b">
        <v>0</v>
      </c>
      <c r="H71" s="31"/>
      <c r="I71" s="50"/>
      <c r="J71" s="31" t="b">
        <v>0</v>
      </c>
      <c r="K71" s="31"/>
      <c r="L71" s="74" t="s">
        <v>98</v>
      </c>
      <c r="M71" s="73" t="s">
        <v>606</v>
      </c>
      <c r="N71" s="73"/>
      <c r="O71" s="76"/>
      <c r="P71" s="77">
        <v>43101</v>
      </c>
      <c r="Q71" s="77">
        <v>43465</v>
      </c>
      <c r="R71" s="76"/>
      <c r="S71" s="73" t="b">
        <v>0</v>
      </c>
      <c r="T71" s="78">
        <v>25</v>
      </c>
      <c r="U71" s="78">
        <v>1135</v>
      </c>
    </row>
    <row r="72" spans="2:21">
      <c r="B72" s="73">
        <f>IF(TaxEvents[[#This Row],[Active]]=TRUE,1,0)</f>
        <v>1</v>
      </c>
      <c r="C72" s="75" t="b">
        <v>1</v>
      </c>
      <c r="D72" s="76" t="s">
        <v>627</v>
      </c>
      <c r="E72" s="76" t="s">
        <v>621</v>
      </c>
      <c r="F72" s="73" t="s">
        <v>53</v>
      </c>
      <c r="G72" s="31" t="b">
        <v>0</v>
      </c>
      <c r="H72" s="31"/>
      <c r="I72" s="50"/>
      <c r="J72" s="31" t="b">
        <v>0</v>
      </c>
      <c r="K72" s="31"/>
      <c r="L72" s="74" t="s">
        <v>98</v>
      </c>
      <c r="M72" s="73" t="s">
        <v>629</v>
      </c>
      <c r="N72" s="73"/>
      <c r="O72" s="76"/>
      <c r="P72" s="77">
        <v>43466</v>
      </c>
      <c r="Q72" s="77">
        <v>43830</v>
      </c>
      <c r="R72" s="76"/>
      <c r="S72" s="73" t="b">
        <v>0</v>
      </c>
      <c r="T72" s="78">
        <v>25</v>
      </c>
      <c r="U72" s="78">
        <v>1136</v>
      </c>
    </row>
    <row r="73" spans="2:21">
      <c r="B73" s="73">
        <f>IF(TaxEvents[[#This Row],[Active]]=TRUE,1,0)</f>
        <v>1</v>
      </c>
      <c r="C73" s="75" t="b">
        <v>1</v>
      </c>
      <c r="D73" s="76" t="s">
        <v>627</v>
      </c>
      <c r="E73" s="76" t="s">
        <v>621</v>
      </c>
      <c r="F73" s="73" t="s">
        <v>53</v>
      </c>
      <c r="G73" s="31" t="b">
        <v>0</v>
      </c>
      <c r="H73" s="31"/>
      <c r="I73" s="50"/>
      <c r="J73" s="31" t="b">
        <v>0</v>
      </c>
      <c r="K73" s="31"/>
      <c r="L73" s="74" t="s">
        <v>98</v>
      </c>
      <c r="M73" s="73" t="s">
        <v>600</v>
      </c>
      <c r="N73" s="73"/>
      <c r="O73" s="76"/>
      <c r="P73" s="77">
        <v>43831</v>
      </c>
      <c r="Q73" s="77">
        <v>44196</v>
      </c>
      <c r="R73" s="76"/>
      <c r="S73" s="73" t="b">
        <v>0</v>
      </c>
      <c r="T73" s="78">
        <v>25</v>
      </c>
      <c r="U73" s="78">
        <v>1137</v>
      </c>
    </row>
    <row r="74" spans="2:21">
      <c r="B74" s="73">
        <f>IF(TaxEvents[[#This Row],[Active]]=TRUE,1,0)</f>
        <v>1</v>
      </c>
      <c r="C74" s="75" t="b">
        <v>1</v>
      </c>
      <c r="D74" s="76" t="s">
        <v>627</v>
      </c>
      <c r="E74" s="76" t="s">
        <v>621</v>
      </c>
      <c r="F74" s="73" t="s">
        <v>53</v>
      </c>
      <c r="G74" s="31" t="b">
        <v>0</v>
      </c>
      <c r="H74" s="31"/>
      <c r="I74" s="50"/>
      <c r="J74" s="31" t="b">
        <v>0</v>
      </c>
      <c r="K74" s="31"/>
      <c r="L74" s="74" t="s">
        <v>98</v>
      </c>
      <c r="M74" s="73" t="s">
        <v>601</v>
      </c>
      <c r="N74" s="73"/>
      <c r="O74" s="76"/>
      <c r="P74" s="77">
        <v>44197</v>
      </c>
      <c r="Q74" s="77">
        <v>44561</v>
      </c>
      <c r="R74" s="76"/>
      <c r="S74" s="73" t="b">
        <v>0</v>
      </c>
      <c r="T74" s="78">
        <v>25</v>
      </c>
      <c r="U74" s="78">
        <v>1138</v>
      </c>
    </row>
    <row r="75" spans="2:21">
      <c r="B75" s="73">
        <f>IF(TaxEvents[[#This Row],[Active]]=TRUE,1,0)</f>
        <v>1</v>
      </c>
      <c r="C75" s="75" t="b">
        <v>1</v>
      </c>
      <c r="D75" s="76" t="s">
        <v>620</v>
      </c>
      <c r="E75" s="76" t="s">
        <v>621</v>
      </c>
      <c r="F75" s="73" t="s">
        <v>53</v>
      </c>
      <c r="G75" s="31" t="b">
        <v>0</v>
      </c>
      <c r="H75" s="31"/>
      <c r="I75" s="50"/>
      <c r="J75" s="31" t="b">
        <v>0</v>
      </c>
      <c r="K75" s="31"/>
      <c r="L75" s="74" t="s">
        <v>99</v>
      </c>
      <c r="M75" s="73" t="s">
        <v>622</v>
      </c>
      <c r="N75" s="73"/>
      <c r="O75" s="76"/>
      <c r="P75" s="77">
        <v>42736</v>
      </c>
      <c r="Q75" s="77">
        <v>43100</v>
      </c>
      <c r="R75" s="76"/>
      <c r="S75" s="73" t="b">
        <v>0</v>
      </c>
      <c r="T75" s="78">
        <v>25</v>
      </c>
      <c r="U75" s="78">
        <v>1139</v>
      </c>
    </row>
    <row r="76" spans="2:21">
      <c r="B76" s="73">
        <f>IF(TaxEvents[[#This Row],[Active]]=TRUE,1,0)</f>
        <v>1</v>
      </c>
      <c r="C76" s="75" t="b">
        <v>1</v>
      </c>
      <c r="D76" s="76" t="s">
        <v>620</v>
      </c>
      <c r="E76" s="76" t="s">
        <v>621</v>
      </c>
      <c r="F76" s="73" t="s">
        <v>53</v>
      </c>
      <c r="G76" s="31" t="b">
        <v>0</v>
      </c>
      <c r="H76" s="31"/>
      <c r="I76" s="50"/>
      <c r="J76" s="31" t="b">
        <v>0</v>
      </c>
      <c r="K76" s="31"/>
      <c r="L76" s="74" t="s">
        <v>99</v>
      </c>
      <c r="M76" s="73" t="s">
        <v>623</v>
      </c>
      <c r="N76" s="73"/>
      <c r="O76" s="76"/>
      <c r="P76" s="77">
        <v>43101</v>
      </c>
      <c r="Q76" s="77">
        <v>43465</v>
      </c>
      <c r="R76" s="76"/>
      <c r="S76" s="73" t="b">
        <v>0</v>
      </c>
      <c r="T76" s="78">
        <v>25</v>
      </c>
      <c r="U76" s="78">
        <v>1140</v>
      </c>
    </row>
    <row r="77" spans="2:21">
      <c r="B77" s="73">
        <f>IF(TaxEvents[[#This Row],[Active]]=TRUE,1,0)</f>
        <v>1</v>
      </c>
      <c r="C77" s="75" t="b">
        <v>1</v>
      </c>
      <c r="D77" s="76" t="s">
        <v>620</v>
      </c>
      <c r="E77" s="76" t="s">
        <v>621</v>
      </c>
      <c r="F77" s="73" t="s">
        <v>53</v>
      </c>
      <c r="G77" s="31" t="b">
        <v>0</v>
      </c>
      <c r="H77" s="31"/>
      <c r="I77" s="50"/>
      <c r="J77" s="31" t="b">
        <v>0</v>
      </c>
      <c r="K77" s="31"/>
      <c r="L77" s="74" t="s">
        <v>99</v>
      </c>
      <c r="M77" s="73" t="s">
        <v>624</v>
      </c>
      <c r="N77" s="73"/>
      <c r="O77" s="76"/>
      <c r="P77" s="77">
        <v>43466</v>
      </c>
      <c r="Q77" s="77">
        <v>43830</v>
      </c>
      <c r="R77" s="76"/>
      <c r="S77" s="73" t="b">
        <v>0</v>
      </c>
      <c r="T77" s="78">
        <v>25</v>
      </c>
      <c r="U77" s="78">
        <v>1141</v>
      </c>
    </row>
    <row r="78" spans="2:21">
      <c r="B78" s="73">
        <f>IF(TaxEvents[[#This Row],[Active]]=TRUE,1,0)</f>
        <v>1</v>
      </c>
      <c r="C78" s="75" t="b">
        <v>1</v>
      </c>
      <c r="D78" s="76" t="s">
        <v>620</v>
      </c>
      <c r="E78" s="76" t="s">
        <v>621</v>
      </c>
      <c r="F78" s="73" t="s">
        <v>53</v>
      </c>
      <c r="G78" s="31" t="b">
        <v>0</v>
      </c>
      <c r="H78" s="31"/>
      <c r="I78" s="50"/>
      <c r="J78" s="31" t="b">
        <v>0</v>
      </c>
      <c r="K78" s="31"/>
      <c r="L78" s="74" t="s">
        <v>99</v>
      </c>
      <c r="M78" s="73" t="s">
        <v>625</v>
      </c>
      <c r="N78" s="73"/>
      <c r="O78" s="76"/>
      <c r="P78" s="77">
        <v>43831</v>
      </c>
      <c r="Q78" s="77">
        <v>44196</v>
      </c>
      <c r="R78" s="76"/>
      <c r="S78" s="73" t="b">
        <v>0</v>
      </c>
      <c r="T78" s="78">
        <v>25</v>
      </c>
      <c r="U78" s="78">
        <v>1142</v>
      </c>
    </row>
    <row r="79" spans="2:21">
      <c r="B79" s="73">
        <f>IF(TaxEvents[[#This Row],[Active]]=TRUE,1,0)</f>
        <v>1</v>
      </c>
      <c r="C79" s="75" t="b">
        <v>1</v>
      </c>
      <c r="D79" s="76" t="s">
        <v>620</v>
      </c>
      <c r="E79" s="76" t="s">
        <v>621</v>
      </c>
      <c r="F79" s="73" t="s">
        <v>53</v>
      </c>
      <c r="G79" s="31" t="b">
        <v>0</v>
      </c>
      <c r="H79" s="31"/>
      <c r="I79" s="50"/>
      <c r="J79" s="31" t="b">
        <v>0</v>
      </c>
      <c r="K79" s="31"/>
      <c r="L79" s="74" t="s">
        <v>99</v>
      </c>
      <c r="M79" s="73" t="s">
        <v>626</v>
      </c>
      <c r="N79" s="73"/>
      <c r="O79" s="76"/>
      <c r="P79" s="77">
        <v>44197</v>
      </c>
      <c r="Q79" s="77">
        <v>44561</v>
      </c>
      <c r="R79" s="76"/>
      <c r="S79" s="73" t="b">
        <v>0</v>
      </c>
      <c r="T79" s="78">
        <v>25</v>
      </c>
      <c r="U79" s="78">
        <v>1143</v>
      </c>
    </row>
    <row r="80" spans="2:21">
      <c r="B80" s="73">
        <f>IF(TaxEvents[[#This Row],[Active]]=TRUE,1,0)</f>
        <v>1</v>
      </c>
      <c r="C80" s="75" t="b">
        <v>1</v>
      </c>
      <c r="D80" s="76" t="s">
        <v>627</v>
      </c>
      <c r="E80" s="76" t="s">
        <v>621</v>
      </c>
      <c r="F80" s="73" t="s">
        <v>53</v>
      </c>
      <c r="G80" s="31" t="b">
        <v>0</v>
      </c>
      <c r="H80" s="31"/>
      <c r="I80" s="50"/>
      <c r="J80" s="31" t="b">
        <v>0</v>
      </c>
      <c r="K80" s="31"/>
      <c r="L80" s="74" t="s">
        <v>99</v>
      </c>
      <c r="M80" s="73" t="s">
        <v>610</v>
      </c>
      <c r="N80" s="73"/>
      <c r="O80" s="76"/>
      <c r="P80" s="77">
        <v>42736</v>
      </c>
      <c r="Q80" s="77">
        <v>43100</v>
      </c>
      <c r="R80" s="76"/>
      <c r="S80" s="73" t="b">
        <v>0</v>
      </c>
      <c r="T80" s="78">
        <v>25</v>
      </c>
      <c r="U80" s="78">
        <v>1144</v>
      </c>
    </row>
    <row r="81" spans="2:21">
      <c r="B81" s="73">
        <f>IF(TaxEvents[[#This Row],[Active]]=TRUE,1,0)</f>
        <v>1</v>
      </c>
      <c r="C81" s="75" t="b">
        <v>1</v>
      </c>
      <c r="D81" s="76" t="s">
        <v>627</v>
      </c>
      <c r="E81" s="76" t="s">
        <v>621</v>
      </c>
      <c r="F81" s="73" t="s">
        <v>53</v>
      </c>
      <c r="G81" s="31" t="b">
        <v>0</v>
      </c>
      <c r="H81" s="31"/>
      <c r="I81" s="50"/>
      <c r="J81" s="31" t="b">
        <v>0</v>
      </c>
      <c r="K81" s="31"/>
      <c r="L81" s="74" t="s">
        <v>99</v>
      </c>
      <c r="M81" s="73" t="s">
        <v>610</v>
      </c>
      <c r="N81" s="73"/>
      <c r="O81" s="76"/>
      <c r="P81" s="77">
        <v>43101</v>
      </c>
      <c r="Q81" s="77">
        <v>43465</v>
      </c>
      <c r="R81" s="76"/>
      <c r="S81" s="73" t="b">
        <v>0</v>
      </c>
      <c r="T81" s="78">
        <v>25</v>
      </c>
      <c r="U81" s="78">
        <v>1145</v>
      </c>
    </row>
    <row r="82" spans="2:21">
      <c r="B82" s="73">
        <f>IF(TaxEvents[[#This Row],[Active]]=TRUE,1,0)</f>
        <v>1</v>
      </c>
      <c r="C82" s="75" t="b">
        <v>1</v>
      </c>
      <c r="D82" s="76" t="s">
        <v>627</v>
      </c>
      <c r="E82" s="76" t="s">
        <v>621</v>
      </c>
      <c r="F82" s="73" t="s">
        <v>53</v>
      </c>
      <c r="G82" s="31" t="b">
        <v>0</v>
      </c>
      <c r="H82" s="31"/>
      <c r="I82" s="50"/>
      <c r="J82" s="31" t="b">
        <v>0</v>
      </c>
      <c r="K82" s="31"/>
      <c r="L82" s="74" t="s">
        <v>99</v>
      </c>
      <c r="M82" s="73" t="s">
        <v>600</v>
      </c>
      <c r="N82" s="73"/>
      <c r="O82" s="76"/>
      <c r="P82" s="77">
        <v>43466</v>
      </c>
      <c r="Q82" s="77">
        <v>43830</v>
      </c>
      <c r="R82" s="76"/>
      <c r="S82" s="73" t="b">
        <v>0</v>
      </c>
      <c r="T82" s="78">
        <v>25</v>
      </c>
      <c r="U82" s="78">
        <v>1146</v>
      </c>
    </row>
    <row r="83" spans="2:21">
      <c r="B83" s="73">
        <f>IF(TaxEvents[[#This Row],[Active]]=TRUE,1,0)</f>
        <v>1</v>
      </c>
      <c r="C83" s="75" t="b">
        <v>1</v>
      </c>
      <c r="D83" s="76" t="s">
        <v>627</v>
      </c>
      <c r="E83" s="76" t="s">
        <v>621</v>
      </c>
      <c r="F83" s="73" t="s">
        <v>53</v>
      </c>
      <c r="G83" s="31" t="b">
        <v>0</v>
      </c>
      <c r="H83" s="31"/>
      <c r="I83" s="50"/>
      <c r="J83" s="31" t="b">
        <v>0</v>
      </c>
      <c r="K83" s="31"/>
      <c r="L83" s="74" t="s">
        <v>99</v>
      </c>
      <c r="M83" s="73" t="s">
        <v>599</v>
      </c>
      <c r="N83" s="73"/>
      <c r="O83" s="76"/>
      <c r="P83" s="77">
        <v>43831</v>
      </c>
      <c r="Q83" s="77">
        <v>44196</v>
      </c>
      <c r="R83" s="76"/>
      <c r="S83" s="73" t="b">
        <v>0</v>
      </c>
      <c r="T83" s="78">
        <v>25</v>
      </c>
      <c r="U83" s="78">
        <v>1147</v>
      </c>
    </row>
    <row r="84" spans="2:21">
      <c r="B84" s="73">
        <f>IF(TaxEvents[[#This Row],[Active]]=TRUE,1,0)</f>
        <v>1</v>
      </c>
      <c r="C84" s="75" t="b">
        <v>1</v>
      </c>
      <c r="D84" s="76" t="s">
        <v>627</v>
      </c>
      <c r="E84" s="76" t="s">
        <v>621</v>
      </c>
      <c r="F84" s="73" t="s">
        <v>53</v>
      </c>
      <c r="G84" s="31" t="b">
        <v>0</v>
      </c>
      <c r="H84" s="31"/>
      <c r="I84" s="50"/>
      <c r="J84" s="31" t="b">
        <v>0</v>
      </c>
      <c r="K84" s="31"/>
      <c r="L84" s="74" t="s">
        <v>99</v>
      </c>
      <c r="M84" s="73" t="s">
        <v>611</v>
      </c>
      <c r="N84" s="73"/>
      <c r="O84" s="76"/>
      <c r="P84" s="77">
        <v>44197</v>
      </c>
      <c r="Q84" s="77">
        <v>44561</v>
      </c>
      <c r="R84" s="76"/>
      <c r="S84" s="73" t="b">
        <v>0</v>
      </c>
      <c r="T84" s="78">
        <v>25</v>
      </c>
      <c r="U84" s="78">
        <v>1148</v>
      </c>
    </row>
  </sheetData>
  <dataConsolidate/>
  <mergeCells count="1">
    <mergeCell ref="B2:G2"/>
  </mergeCells>
  <conditionalFormatting sqref="B5:U84">
    <cfRule type="expression" dxfId="24" priority="10">
      <formula>$C5 = FALSE</formula>
    </cfRule>
  </conditionalFormatting>
  <conditionalFormatting sqref="S5:S84 G5:G84 J5:J84 C5:C84">
    <cfRule type="containsText" dxfId="23" priority="11" operator="containsText" text="TRUE">
      <formula>NOT(ISERROR(SEARCH("TRUE",C5)))</formula>
    </cfRule>
    <cfRule type="containsText" dxfId="22" priority="12" operator="containsText" text="FALSE">
      <formula>NOT(ISERROR(SEARCH("FALSE",C5)))</formula>
    </cfRule>
  </conditionalFormatting>
  <dataValidations count="6">
    <dataValidation type="list" allowBlank="1" showInputMessage="1" showErrorMessage="1" sqref="J5:J84 G5:G84 S5:S84 C5:C84">
      <formula1>"TRUE, FALSE"</formula1>
    </dataValidation>
    <dataValidation type="list" allowBlank="1" showInputMessage="1" showErrorMessage="1" sqref="I5:I84">
      <formula1>INDIRECT("FacilityType[Code]")</formula1>
    </dataValidation>
    <dataValidation type="list" allowBlank="1" showInputMessage="1" showErrorMessage="1" sqref="F5:F84">
      <formula1>INDIRECT("Countries[Code]")</formula1>
    </dataValidation>
    <dataValidation type="list" allowBlank="1" showInputMessage="1" showErrorMessage="1" sqref="H5:H84">
      <formula1>INDIRECT("Facilities[Code]")</formula1>
    </dataValidation>
    <dataValidation type="list" allowBlank="1" showInputMessage="1" showErrorMessage="1" sqref="K5:K84">
      <formula1>INDIRECT("Jurisdictions[Code]")</formula1>
    </dataValidation>
    <dataValidation type="list" allowBlank="1" showInputMessage="1" showErrorMessage="1" sqref="L5:L84">
      <formula1>INDIRECT("Provinces[Code]")</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4"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B5:B84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B61"/>
  <sheetViews>
    <sheetView showGridLines="0" topLeftCell="A2" zoomScaleNormal="100" workbookViewId="0">
      <pane xSplit="1" ySplit="3" topLeftCell="B33" activePane="bottomRight" state="frozen"/>
      <selection activeCell="J37" sqref="J37"/>
      <selection pane="topRight" activeCell="J37" sqref="J37"/>
      <selection pane="bottomLeft" activeCell="J37" sqref="J37"/>
      <selection pane="bottomRight" activeCell="L49" sqref="L49"/>
    </sheetView>
  </sheetViews>
  <sheetFormatPr defaultRowHeight="15"/>
  <cols>
    <col min="1" max="1" width="21.28515625" style="27" customWidth="1"/>
    <col min="2" max="2" width="6.42578125" bestFit="1" customWidth="1"/>
    <col min="3" max="3" width="11.140625" style="15" bestFit="1" customWidth="1"/>
    <col min="4" max="4" width="13.140625" bestFit="1" customWidth="1"/>
    <col min="5" max="5" width="23.85546875" bestFit="1" customWidth="1"/>
    <col min="6" max="6" width="17.140625" bestFit="1" customWidth="1"/>
    <col min="7" max="7" width="15.7109375" bestFit="1" customWidth="1"/>
    <col min="8" max="8" width="13.28515625" bestFit="1" customWidth="1"/>
    <col min="9" max="9" width="18.42578125" customWidth="1"/>
    <col min="10" max="10" width="16.5703125" bestFit="1" customWidth="1"/>
    <col min="11" max="11" width="12.5703125" bestFit="1" customWidth="1"/>
    <col min="12" max="12" width="13.28515625" bestFit="1" customWidth="1"/>
    <col min="13" max="13" width="12.42578125" bestFit="1" customWidth="1"/>
    <col min="14" max="14" width="14.28515625" bestFit="1" customWidth="1"/>
    <col min="15" max="15" width="13.42578125" bestFit="1" customWidth="1"/>
    <col min="16" max="16" width="9.85546875" bestFit="1" customWidth="1"/>
    <col min="17" max="17" width="10" bestFit="1" customWidth="1"/>
    <col min="18" max="18" width="16.28515625" bestFit="1" customWidth="1"/>
    <col min="19" max="19" width="17" bestFit="1" customWidth="1"/>
    <col min="20" max="20" width="14.5703125" bestFit="1" customWidth="1"/>
    <col min="21" max="21" width="15.85546875" hidden="1" customWidth="1"/>
    <col min="22" max="22" width="7.42578125" hidden="1" customWidth="1"/>
    <col min="23" max="23" width="9.140625" bestFit="1" customWidth="1"/>
    <col min="24" max="24" width="9.42578125" bestFit="1" customWidth="1"/>
    <col min="25" max="25" width="14.28515625" bestFit="1" customWidth="1"/>
    <col min="26" max="26" width="13.42578125" bestFit="1" customWidth="1"/>
    <col min="27" max="27" width="16.28515625" bestFit="1" customWidth="1"/>
    <col min="28" max="28" width="15.140625" bestFit="1" customWidth="1"/>
    <col min="29" max="29" width="15.85546875" customWidth="1"/>
    <col min="30" max="30" width="7.42578125" customWidth="1"/>
  </cols>
  <sheetData>
    <row r="1" spans="1:28" ht="74.25" hidden="1" customHeight="1">
      <c r="A1" s="16"/>
      <c r="AB1">
        <v>52</v>
      </c>
    </row>
    <row r="2" spans="1:28" s="5" customFormat="1" ht="29.25" customHeight="1" thickBot="1">
      <c r="A2" s="27"/>
      <c r="B2" s="101" t="s">
        <v>192</v>
      </c>
      <c r="C2" s="101"/>
      <c r="D2" s="101"/>
      <c r="E2" s="101"/>
      <c r="F2" s="101"/>
      <c r="G2" s="101"/>
      <c r="H2" s="101"/>
      <c r="I2" s="101"/>
      <c r="J2" s="101"/>
      <c r="K2" s="101"/>
      <c r="L2" s="101"/>
      <c r="M2" s="30"/>
      <c r="N2" s="30"/>
      <c r="O2" s="30"/>
      <c r="P2" s="30"/>
      <c r="Q2" s="30"/>
      <c r="R2" s="30"/>
      <c r="S2" s="30"/>
      <c r="T2" s="30"/>
      <c r="U2" s="30"/>
    </row>
    <row r="3" spans="1:28" s="4" customFormat="1" ht="9" customHeight="1" thickTop="1">
      <c r="A3" s="27"/>
      <c r="C3" s="24"/>
    </row>
    <row r="4" spans="1:28" s="13" customFormat="1" ht="15" customHeight="1">
      <c r="A4" s="27"/>
      <c r="B4" s="20" t="s">
        <v>11</v>
      </c>
      <c r="C4" s="19" t="s">
        <v>1</v>
      </c>
      <c r="D4" s="19" t="s">
        <v>0</v>
      </c>
      <c r="E4" s="19" t="s">
        <v>3</v>
      </c>
      <c r="F4" s="19" t="s">
        <v>300</v>
      </c>
      <c r="G4" s="19" t="s">
        <v>185</v>
      </c>
      <c r="H4" s="19" t="s">
        <v>301</v>
      </c>
      <c r="I4" s="19" t="s">
        <v>176</v>
      </c>
      <c r="J4" s="19" t="s">
        <v>43</v>
      </c>
      <c r="K4" s="19" t="s">
        <v>41</v>
      </c>
      <c r="L4" s="19" t="s">
        <v>42</v>
      </c>
      <c r="M4" s="19" t="s">
        <v>188</v>
      </c>
      <c r="N4" s="19" t="s">
        <v>19</v>
      </c>
      <c r="O4" s="19" t="s">
        <v>45</v>
      </c>
      <c r="P4" s="19" t="s">
        <v>96</v>
      </c>
      <c r="Q4" s="19" t="s">
        <v>189</v>
      </c>
      <c r="R4" s="19" t="s">
        <v>46</v>
      </c>
      <c r="S4" s="19" t="s">
        <v>190</v>
      </c>
      <c r="T4" s="19" t="s">
        <v>191</v>
      </c>
      <c r="U4" s="19" t="s">
        <v>2</v>
      </c>
      <c r="V4" s="19" t="s">
        <v>20</v>
      </c>
    </row>
    <row r="5" spans="1:28">
      <c r="A5" s="28"/>
      <c r="B5" s="32">
        <f>IF(CreditEvents[[#This Row],[Active]]=TRUE,1,0)</f>
        <v>1</v>
      </c>
      <c r="C5" s="33" t="b">
        <v>1</v>
      </c>
      <c r="D5" s="31" t="s">
        <v>607</v>
      </c>
      <c r="E5" s="50" t="s">
        <v>608</v>
      </c>
      <c r="F5" s="95" t="b">
        <v>0</v>
      </c>
      <c r="G5" s="72"/>
      <c r="H5" s="95" t="b">
        <v>0</v>
      </c>
      <c r="I5" s="72"/>
      <c r="J5" s="72"/>
      <c r="K5" s="72" t="s">
        <v>49</v>
      </c>
      <c r="L5" s="72"/>
      <c r="M5" s="82">
        <v>3000000</v>
      </c>
      <c r="N5" s="96"/>
      <c r="O5" s="96"/>
      <c r="P5" s="96" t="s">
        <v>602</v>
      </c>
      <c r="Q5" s="82"/>
      <c r="R5" s="95">
        <v>365</v>
      </c>
      <c r="S5" s="95" t="b">
        <v>1</v>
      </c>
      <c r="T5" s="95" t="b">
        <v>0</v>
      </c>
      <c r="U5" s="63">
        <v>25</v>
      </c>
      <c r="V5" s="64">
        <v>802</v>
      </c>
    </row>
    <row r="6" spans="1:28">
      <c r="B6" s="73">
        <f>IF(CreditEvents[[#This Row],[Active]]=TRUE,1,0)</f>
        <v>0</v>
      </c>
      <c r="C6" s="75" t="b">
        <v>0</v>
      </c>
      <c r="D6" s="73" t="s">
        <v>630</v>
      </c>
      <c r="E6" s="76" t="s">
        <v>631</v>
      </c>
      <c r="F6" s="97" t="b">
        <v>0</v>
      </c>
      <c r="G6" s="74"/>
      <c r="H6" s="97" t="b">
        <v>0</v>
      </c>
      <c r="I6" s="74"/>
      <c r="J6" s="72" t="s">
        <v>147</v>
      </c>
      <c r="K6" s="74" t="s">
        <v>49</v>
      </c>
      <c r="L6" s="74" t="s">
        <v>55</v>
      </c>
      <c r="M6" s="83">
        <v>50000</v>
      </c>
      <c r="N6" s="94"/>
      <c r="O6" s="94"/>
      <c r="P6" s="94" t="s">
        <v>602</v>
      </c>
      <c r="Q6" s="83">
        <v>10</v>
      </c>
      <c r="R6" s="97">
        <v>365</v>
      </c>
      <c r="S6" s="97" t="b">
        <v>1</v>
      </c>
      <c r="T6" s="97" t="b">
        <v>1</v>
      </c>
      <c r="U6" s="78">
        <v>25</v>
      </c>
      <c r="V6" s="78">
        <v>803</v>
      </c>
    </row>
    <row r="7" spans="1:28">
      <c r="B7" s="73">
        <f>IF(CreditEvents[[#This Row],[Active]]=TRUE,1,0)</f>
        <v>0</v>
      </c>
      <c r="C7" s="75" t="b">
        <v>0</v>
      </c>
      <c r="D7" s="73" t="s">
        <v>632</v>
      </c>
      <c r="E7" s="76" t="s">
        <v>608</v>
      </c>
      <c r="F7" s="97" t="b">
        <v>0</v>
      </c>
      <c r="G7" s="74"/>
      <c r="H7" s="97" t="b">
        <v>1</v>
      </c>
      <c r="I7" s="74" t="s">
        <v>633</v>
      </c>
      <c r="J7" s="72"/>
      <c r="K7" s="74" t="s">
        <v>49</v>
      </c>
      <c r="L7" s="74"/>
      <c r="M7" s="83">
        <v>100000</v>
      </c>
      <c r="N7" s="94"/>
      <c r="O7" s="94">
        <v>43100</v>
      </c>
      <c r="P7" s="94" t="s">
        <v>602</v>
      </c>
      <c r="Q7" s="83">
        <v>2</v>
      </c>
      <c r="R7" s="97">
        <v>365</v>
      </c>
      <c r="S7" s="97" t="b">
        <v>1</v>
      </c>
      <c r="T7" s="97" t="b">
        <v>1</v>
      </c>
      <c r="U7" s="78">
        <v>25</v>
      </c>
      <c r="V7" s="78">
        <v>804</v>
      </c>
    </row>
    <row r="8" spans="1:28">
      <c r="B8" s="73">
        <f>IF(CreditEvents[[#This Row],[Active]]=TRUE,1,0)</f>
        <v>0</v>
      </c>
      <c r="C8" s="75" t="b">
        <v>0</v>
      </c>
      <c r="D8" s="73" t="s">
        <v>607</v>
      </c>
      <c r="E8" s="76" t="s">
        <v>608</v>
      </c>
      <c r="F8" s="97" t="b">
        <v>0</v>
      </c>
      <c r="G8" s="74"/>
      <c r="H8" s="97" t="b">
        <v>0</v>
      </c>
      <c r="I8" s="74"/>
      <c r="J8" s="72"/>
      <c r="K8" s="74" t="s">
        <v>49</v>
      </c>
      <c r="L8" s="74"/>
      <c r="M8" s="83">
        <v>9000</v>
      </c>
      <c r="N8" s="94">
        <v>43101</v>
      </c>
      <c r="O8" s="94"/>
      <c r="P8" s="94" t="s">
        <v>602</v>
      </c>
      <c r="Q8" s="83">
        <v>50</v>
      </c>
      <c r="R8" s="97">
        <v>365</v>
      </c>
      <c r="S8" s="97" t="b">
        <v>1</v>
      </c>
      <c r="T8" s="97" t="b">
        <v>1</v>
      </c>
      <c r="U8" s="78">
        <v>25</v>
      </c>
      <c r="V8" s="78">
        <v>805</v>
      </c>
    </row>
    <row r="9" spans="1:28">
      <c r="B9" s="73">
        <f>IF(CreditEvents[[#This Row],[Active]]=TRUE,1,0)</f>
        <v>0</v>
      </c>
      <c r="C9" s="75" t="b">
        <v>0</v>
      </c>
      <c r="D9" s="73" t="s">
        <v>634</v>
      </c>
      <c r="E9" s="76" t="s">
        <v>608</v>
      </c>
      <c r="F9" s="97" t="b">
        <v>0</v>
      </c>
      <c r="G9" s="74"/>
      <c r="H9" s="97" t="b">
        <v>1</v>
      </c>
      <c r="I9" s="74" t="s">
        <v>633</v>
      </c>
      <c r="J9" s="72"/>
      <c r="K9" s="74" t="s">
        <v>49</v>
      </c>
      <c r="L9" s="74"/>
      <c r="M9" s="83">
        <v>90000</v>
      </c>
      <c r="N9" s="94">
        <v>43101</v>
      </c>
      <c r="O9" s="94">
        <v>43465</v>
      </c>
      <c r="P9" s="94" t="s">
        <v>602</v>
      </c>
      <c r="Q9" s="83">
        <v>2</v>
      </c>
      <c r="R9" s="97">
        <v>365</v>
      </c>
      <c r="S9" s="97" t="b">
        <v>1</v>
      </c>
      <c r="T9" s="97" t="b">
        <v>1</v>
      </c>
      <c r="U9" s="78">
        <v>25</v>
      </c>
      <c r="V9" s="78">
        <v>806</v>
      </c>
    </row>
    <row r="10" spans="1:28">
      <c r="B10" s="73">
        <f>IF(CreditEvents[[#This Row],[Active]]=TRUE,1,0)</f>
        <v>0</v>
      </c>
      <c r="C10" s="75" t="b">
        <v>0</v>
      </c>
      <c r="D10" s="73" t="s">
        <v>635</v>
      </c>
      <c r="E10" s="76" t="s">
        <v>608</v>
      </c>
      <c r="F10" s="97" t="b">
        <v>0</v>
      </c>
      <c r="G10" s="74"/>
      <c r="H10" s="97" t="b">
        <v>1</v>
      </c>
      <c r="I10" s="74" t="s">
        <v>633</v>
      </c>
      <c r="J10" s="72"/>
      <c r="K10" s="74" t="s">
        <v>49</v>
      </c>
      <c r="L10" s="74"/>
      <c r="M10" s="83">
        <v>50000</v>
      </c>
      <c r="N10" s="94">
        <v>43466</v>
      </c>
      <c r="O10" s="94"/>
      <c r="P10" s="94" t="s">
        <v>602</v>
      </c>
      <c r="Q10" s="83">
        <v>2</v>
      </c>
      <c r="R10" s="97">
        <v>365</v>
      </c>
      <c r="S10" s="97" t="b">
        <v>1</v>
      </c>
      <c r="T10" s="97" t="b">
        <v>1</v>
      </c>
      <c r="U10" s="78">
        <v>25</v>
      </c>
      <c r="V10" s="78">
        <v>807</v>
      </c>
    </row>
    <row r="11" spans="1:28">
      <c r="B11" s="73">
        <f>IF(CreditEvents[[#This Row],[Active]]=TRUE,1,0)</f>
        <v>0</v>
      </c>
      <c r="C11" s="75" t="b">
        <v>0</v>
      </c>
      <c r="D11" s="73" t="s">
        <v>636</v>
      </c>
      <c r="E11" s="76" t="s">
        <v>608</v>
      </c>
      <c r="F11" s="97" t="b">
        <v>0</v>
      </c>
      <c r="G11" s="74"/>
      <c r="H11" s="97" t="b">
        <v>1</v>
      </c>
      <c r="I11" s="74" t="s">
        <v>637</v>
      </c>
      <c r="J11" s="72"/>
      <c r="K11" s="74" t="s">
        <v>49</v>
      </c>
      <c r="L11" s="74"/>
      <c r="M11" s="83">
        <v>70000</v>
      </c>
      <c r="N11" s="94"/>
      <c r="O11" s="94">
        <v>43100</v>
      </c>
      <c r="P11" s="94" t="s">
        <v>602</v>
      </c>
      <c r="Q11" s="83">
        <v>2</v>
      </c>
      <c r="R11" s="97">
        <v>365</v>
      </c>
      <c r="S11" s="97" t="b">
        <v>1</v>
      </c>
      <c r="T11" s="97" t="b">
        <v>1</v>
      </c>
      <c r="U11" s="78">
        <v>25</v>
      </c>
      <c r="V11" s="78">
        <v>808</v>
      </c>
    </row>
    <row r="12" spans="1:28">
      <c r="B12" s="73">
        <f>IF(CreditEvents[[#This Row],[Active]]=TRUE,1,0)</f>
        <v>0</v>
      </c>
      <c r="C12" s="75" t="b">
        <v>0</v>
      </c>
      <c r="D12" s="73" t="s">
        <v>638</v>
      </c>
      <c r="E12" s="76" t="s">
        <v>608</v>
      </c>
      <c r="F12" s="97" t="b">
        <v>0</v>
      </c>
      <c r="G12" s="74"/>
      <c r="H12" s="97" t="b">
        <v>1</v>
      </c>
      <c r="I12" s="74" t="s">
        <v>637</v>
      </c>
      <c r="J12" s="72"/>
      <c r="K12" s="74" t="s">
        <v>49</v>
      </c>
      <c r="L12" s="74"/>
      <c r="M12" s="83">
        <v>50000</v>
      </c>
      <c r="N12" s="94">
        <v>43101</v>
      </c>
      <c r="O12" s="94">
        <v>43465</v>
      </c>
      <c r="P12" s="94" t="s">
        <v>602</v>
      </c>
      <c r="Q12" s="83">
        <v>2</v>
      </c>
      <c r="R12" s="97">
        <v>365</v>
      </c>
      <c r="S12" s="97" t="b">
        <v>1</v>
      </c>
      <c r="T12" s="97" t="b">
        <v>1</v>
      </c>
      <c r="U12" s="78">
        <v>25</v>
      </c>
      <c r="V12" s="78">
        <v>809</v>
      </c>
    </row>
    <row r="13" spans="1:28">
      <c r="B13" s="73">
        <f>IF(CreditEvents[[#This Row],[Active]]=TRUE,1,0)</f>
        <v>0</v>
      </c>
      <c r="C13" s="75" t="b">
        <v>0</v>
      </c>
      <c r="D13" s="73" t="s">
        <v>639</v>
      </c>
      <c r="E13" s="76" t="s">
        <v>608</v>
      </c>
      <c r="F13" s="97" t="b">
        <v>0</v>
      </c>
      <c r="G13" s="74"/>
      <c r="H13" s="97" t="b">
        <v>1</v>
      </c>
      <c r="I13" s="74" t="s">
        <v>637</v>
      </c>
      <c r="J13" s="72"/>
      <c r="K13" s="74" t="s">
        <v>49</v>
      </c>
      <c r="L13" s="74"/>
      <c r="M13" s="83">
        <v>25000</v>
      </c>
      <c r="N13" s="94">
        <v>43466</v>
      </c>
      <c r="O13" s="94"/>
      <c r="P13" s="94" t="s">
        <v>602</v>
      </c>
      <c r="Q13" s="83">
        <v>2</v>
      </c>
      <c r="R13" s="97">
        <v>365</v>
      </c>
      <c r="S13" s="97" t="b">
        <v>1</v>
      </c>
      <c r="T13" s="97" t="b">
        <v>1</v>
      </c>
      <c r="U13" s="78">
        <v>25</v>
      </c>
      <c r="V13" s="78">
        <v>810</v>
      </c>
    </row>
    <row r="14" spans="1:28">
      <c r="B14" s="73">
        <f>IF(CreditEvents[[#This Row],[Active]]=TRUE,1,0)</f>
        <v>0</v>
      </c>
      <c r="C14" s="75" t="b">
        <v>0</v>
      </c>
      <c r="D14" s="73" t="s">
        <v>640</v>
      </c>
      <c r="E14" s="76" t="s">
        <v>641</v>
      </c>
      <c r="F14" s="97" t="b">
        <v>0</v>
      </c>
      <c r="G14" s="74"/>
      <c r="H14" s="97" t="b">
        <v>0</v>
      </c>
      <c r="I14" s="74"/>
      <c r="J14" s="72"/>
      <c r="K14" s="74" t="s">
        <v>53</v>
      </c>
      <c r="L14" s="74" t="s">
        <v>198</v>
      </c>
      <c r="M14" s="83">
        <v>25000</v>
      </c>
      <c r="N14" s="94"/>
      <c r="O14" s="94"/>
      <c r="P14" s="94" t="s">
        <v>602</v>
      </c>
      <c r="Q14" s="83">
        <v>10</v>
      </c>
      <c r="R14" s="97">
        <v>365</v>
      </c>
      <c r="S14" s="97" t="b">
        <v>1</v>
      </c>
      <c r="T14" s="97" t="b">
        <v>1</v>
      </c>
      <c r="U14" s="78">
        <v>25</v>
      </c>
      <c r="V14" s="78">
        <v>811</v>
      </c>
    </row>
    <row r="15" spans="1:28">
      <c r="B15" s="73">
        <f>IF(CreditEvents[[#This Row],[Active]]=TRUE,1,0)</f>
        <v>0</v>
      </c>
      <c r="C15" s="75" t="b">
        <v>0</v>
      </c>
      <c r="D15" s="73" t="s">
        <v>607</v>
      </c>
      <c r="E15" s="76" t="s">
        <v>608</v>
      </c>
      <c r="F15" s="97" t="b">
        <v>0</v>
      </c>
      <c r="G15" s="74"/>
      <c r="H15" s="97" t="b">
        <v>0</v>
      </c>
      <c r="I15" s="74"/>
      <c r="J15" s="72"/>
      <c r="K15" s="74" t="s">
        <v>49</v>
      </c>
      <c r="L15" s="74"/>
      <c r="M15" s="83">
        <v>10000</v>
      </c>
      <c r="N15" s="94"/>
      <c r="O15" s="94"/>
      <c r="P15" s="94" t="s">
        <v>602</v>
      </c>
      <c r="Q15" s="83">
        <v>50</v>
      </c>
      <c r="R15" s="97">
        <v>365</v>
      </c>
      <c r="S15" s="97" t="b">
        <v>1</v>
      </c>
      <c r="T15" s="97" t="b">
        <v>0</v>
      </c>
      <c r="U15" s="78">
        <v>25</v>
      </c>
      <c r="V15" s="78">
        <v>812</v>
      </c>
    </row>
    <row r="16" spans="1:28">
      <c r="B16" s="73">
        <f>IF(CreditEvents[[#This Row],[Active]]=TRUE,1,0)</f>
        <v>0</v>
      </c>
      <c r="C16" s="75" t="b">
        <v>0</v>
      </c>
      <c r="D16" s="73" t="s">
        <v>630</v>
      </c>
      <c r="E16" s="76" t="s">
        <v>631</v>
      </c>
      <c r="F16" s="97" t="b">
        <v>0</v>
      </c>
      <c r="G16" s="74"/>
      <c r="H16" s="97" t="b">
        <v>0</v>
      </c>
      <c r="I16" s="74"/>
      <c r="J16" s="72" t="s">
        <v>147</v>
      </c>
      <c r="K16" s="74" t="s">
        <v>49</v>
      </c>
      <c r="L16" s="74" t="s">
        <v>55</v>
      </c>
      <c r="M16" s="83">
        <v>50000</v>
      </c>
      <c r="N16" s="94"/>
      <c r="O16" s="94"/>
      <c r="P16" s="94" t="s">
        <v>602</v>
      </c>
      <c r="Q16" s="83">
        <v>10</v>
      </c>
      <c r="R16" s="97">
        <v>365</v>
      </c>
      <c r="S16" s="97" t="b">
        <v>1</v>
      </c>
      <c r="T16" s="97" t="b">
        <v>1</v>
      </c>
      <c r="U16" s="78">
        <v>25</v>
      </c>
      <c r="V16" s="78">
        <v>813</v>
      </c>
    </row>
    <row r="17" spans="2:22">
      <c r="B17" s="73">
        <f>IF(CreditEvents[[#This Row],[Active]]=TRUE,1,0)</f>
        <v>0</v>
      </c>
      <c r="C17" s="75" t="b">
        <v>0</v>
      </c>
      <c r="D17" s="73" t="s">
        <v>632</v>
      </c>
      <c r="E17" s="76" t="s">
        <v>608</v>
      </c>
      <c r="F17" s="97" t="b">
        <v>0</v>
      </c>
      <c r="G17" s="74"/>
      <c r="H17" s="97" t="b">
        <v>1</v>
      </c>
      <c r="I17" s="74" t="s">
        <v>633</v>
      </c>
      <c r="J17" s="72"/>
      <c r="K17" s="74" t="s">
        <v>49</v>
      </c>
      <c r="L17" s="74"/>
      <c r="M17" s="83">
        <v>100000</v>
      </c>
      <c r="N17" s="94"/>
      <c r="O17" s="94">
        <v>43100</v>
      </c>
      <c r="P17" s="94" t="s">
        <v>602</v>
      </c>
      <c r="Q17" s="83">
        <v>2</v>
      </c>
      <c r="R17" s="97">
        <v>365</v>
      </c>
      <c r="S17" s="97" t="b">
        <v>1</v>
      </c>
      <c r="T17" s="97" t="b">
        <v>1</v>
      </c>
      <c r="U17" s="78">
        <v>25</v>
      </c>
      <c r="V17" s="78">
        <v>814</v>
      </c>
    </row>
    <row r="18" spans="2:22">
      <c r="B18" s="73">
        <f>IF(CreditEvents[[#This Row],[Active]]=TRUE,1,0)</f>
        <v>0</v>
      </c>
      <c r="C18" s="75" t="b">
        <v>0</v>
      </c>
      <c r="D18" s="73" t="s">
        <v>607</v>
      </c>
      <c r="E18" s="76" t="s">
        <v>608</v>
      </c>
      <c r="F18" s="97" t="b">
        <v>0</v>
      </c>
      <c r="G18" s="74"/>
      <c r="H18" s="97" t="b">
        <v>0</v>
      </c>
      <c r="I18" s="74"/>
      <c r="J18" s="72"/>
      <c r="K18" s="74" t="s">
        <v>49</v>
      </c>
      <c r="L18" s="74"/>
      <c r="M18" s="83">
        <v>9000</v>
      </c>
      <c r="N18" s="94">
        <v>43101</v>
      </c>
      <c r="O18" s="94"/>
      <c r="P18" s="94" t="s">
        <v>602</v>
      </c>
      <c r="Q18" s="83">
        <v>50</v>
      </c>
      <c r="R18" s="97">
        <v>365</v>
      </c>
      <c r="S18" s="97" t="b">
        <v>1</v>
      </c>
      <c r="T18" s="97" t="b">
        <v>1</v>
      </c>
      <c r="U18" s="78">
        <v>25</v>
      </c>
      <c r="V18" s="78">
        <v>815</v>
      </c>
    </row>
    <row r="19" spans="2:22">
      <c r="B19" s="73">
        <f>IF(CreditEvents[[#This Row],[Active]]=TRUE,1,0)</f>
        <v>0</v>
      </c>
      <c r="C19" s="75" t="b">
        <v>0</v>
      </c>
      <c r="D19" s="73" t="s">
        <v>634</v>
      </c>
      <c r="E19" s="76" t="s">
        <v>608</v>
      </c>
      <c r="F19" s="97" t="b">
        <v>0</v>
      </c>
      <c r="G19" s="74"/>
      <c r="H19" s="97" t="b">
        <v>1</v>
      </c>
      <c r="I19" s="74" t="s">
        <v>633</v>
      </c>
      <c r="J19" s="72"/>
      <c r="K19" s="74" t="s">
        <v>49</v>
      </c>
      <c r="L19" s="74"/>
      <c r="M19" s="83">
        <v>90000</v>
      </c>
      <c r="N19" s="94">
        <v>43101</v>
      </c>
      <c r="O19" s="94">
        <v>43465</v>
      </c>
      <c r="P19" s="94" t="s">
        <v>602</v>
      </c>
      <c r="Q19" s="83">
        <v>2</v>
      </c>
      <c r="R19" s="97">
        <v>365</v>
      </c>
      <c r="S19" s="97" t="b">
        <v>1</v>
      </c>
      <c r="T19" s="97" t="b">
        <v>1</v>
      </c>
      <c r="U19" s="78">
        <v>25</v>
      </c>
      <c r="V19" s="78">
        <v>816</v>
      </c>
    </row>
    <row r="20" spans="2:22">
      <c r="B20" s="73">
        <f>IF(CreditEvents[[#This Row],[Active]]=TRUE,1,0)</f>
        <v>0</v>
      </c>
      <c r="C20" s="75" t="b">
        <v>0</v>
      </c>
      <c r="D20" s="73" t="s">
        <v>635</v>
      </c>
      <c r="E20" s="76" t="s">
        <v>608</v>
      </c>
      <c r="F20" s="97" t="b">
        <v>0</v>
      </c>
      <c r="G20" s="74"/>
      <c r="H20" s="97" t="b">
        <v>1</v>
      </c>
      <c r="I20" s="74" t="s">
        <v>633</v>
      </c>
      <c r="J20" s="72"/>
      <c r="K20" s="74" t="s">
        <v>49</v>
      </c>
      <c r="L20" s="74"/>
      <c r="M20" s="83">
        <v>50000</v>
      </c>
      <c r="N20" s="94">
        <v>43466</v>
      </c>
      <c r="O20" s="94"/>
      <c r="P20" s="94" t="s">
        <v>602</v>
      </c>
      <c r="Q20" s="83">
        <v>2</v>
      </c>
      <c r="R20" s="97">
        <v>365</v>
      </c>
      <c r="S20" s="97" t="b">
        <v>1</v>
      </c>
      <c r="T20" s="97" t="b">
        <v>1</v>
      </c>
      <c r="U20" s="78">
        <v>25</v>
      </c>
      <c r="V20" s="78">
        <v>817</v>
      </c>
    </row>
    <row r="21" spans="2:22">
      <c r="B21" s="73">
        <f>IF(CreditEvents[[#This Row],[Active]]=TRUE,1,0)</f>
        <v>0</v>
      </c>
      <c r="C21" s="75" t="b">
        <v>0</v>
      </c>
      <c r="D21" s="73" t="s">
        <v>636</v>
      </c>
      <c r="E21" s="76" t="s">
        <v>608</v>
      </c>
      <c r="F21" s="97" t="b">
        <v>0</v>
      </c>
      <c r="G21" s="74"/>
      <c r="H21" s="97" t="b">
        <v>1</v>
      </c>
      <c r="I21" s="74" t="s">
        <v>637</v>
      </c>
      <c r="J21" s="72"/>
      <c r="K21" s="74" t="s">
        <v>49</v>
      </c>
      <c r="L21" s="74"/>
      <c r="M21" s="83">
        <v>70000</v>
      </c>
      <c r="N21" s="94"/>
      <c r="O21" s="94">
        <v>43100</v>
      </c>
      <c r="P21" s="94" t="s">
        <v>602</v>
      </c>
      <c r="Q21" s="83">
        <v>2</v>
      </c>
      <c r="R21" s="97">
        <v>365</v>
      </c>
      <c r="S21" s="97" t="b">
        <v>1</v>
      </c>
      <c r="T21" s="97" t="b">
        <v>1</v>
      </c>
      <c r="U21" s="78">
        <v>25</v>
      </c>
      <c r="V21" s="78">
        <v>818</v>
      </c>
    </row>
    <row r="22" spans="2:22">
      <c r="B22" s="73">
        <f>IF(CreditEvents[[#This Row],[Active]]=TRUE,1,0)</f>
        <v>0</v>
      </c>
      <c r="C22" s="75" t="b">
        <v>0</v>
      </c>
      <c r="D22" s="73" t="s">
        <v>638</v>
      </c>
      <c r="E22" s="76" t="s">
        <v>608</v>
      </c>
      <c r="F22" s="97" t="b">
        <v>0</v>
      </c>
      <c r="G22" s="74"/>
      <c r="H22" s="97" t="b">
        <v>1</v>
      </c>
      <c r="I22" s="74" t="s">
        <v>637</v>
      </c>
      <c r="J22" s="72"/>
      <c r="K22" s="74" t="s">
        <v>49</v>
      </c>
      <c r="L22" s="74"/>
      <c r="M22" s="83">
        <v>50000</v>
      </c>
      <c r="N22" s="94">
        <v>43101</v>
      </c>
      <c r="O22" s="94">
        <v>43465</v>
      </c>
      <c r="P22" s="94" t="s">
        <v>602</v>
      </c>
      <c r="Q22" s="83">
        <v>2</v>
      </c>
      <c r="R22" s="97">
        <v>365</v>
      </c>
      <c r="S22" s="97" t="b">
        <v>1</v>
      </c>
      <c r="T22" s="97" t="b">
        <v>1</v>
      </c>
      <c r="U22" s="78">
        <v>25</v>
      </c>
      <c r="V22" s="78">
        <v>819</v>
      </c>
    </row>
    <row r="23" spans="2:22">
      <c r="B23" s="73">
        <f>IF(CreditEvents[[#This Row],[Active]]=TRUE,1,0)</f>
        <v>0</v>
      </c>
      <c r="C23" s="75" t="b">
        <v>0</v>
      </c>
      <c r="D23" s="73" t="s">
        <v>639</v>
      </c>
      <c r="E23" s="76" t="s">
        <v>608</v>
      </c>
      <c r="F23" s="97" t="b">
        <v>0</v>
      </c>
      <c r="G23" s="74"/>
      <c r="H23" s="97" t="b">
        <v>1</v>
      </c>
      <c r="I23" s="74" t="s">
        <v>637</v>
      </c>
      <c r="J23" s="72"/>
      <c r="K23" s="74" t="s">
        <v>49</v>
      </c>
      <c r="L23" s="74"/>
      <c r="M23" s="83">
        <v>25000</v>
      </c>
      <c r="N23" s="94">
        <v>43466</v>
      </c>
      <c r="O23" s="94"/>
      <c r="P23" s="94" t="s">
        <v>602</v>
      </c>
      <c r="Q23" s="83">
        <v>2</v>
      </c>
      <c r="R23" s="97">
        <v>365</v>
      </c>
      <c r="S23" s="97" t="b">
        <v>1</v>
      </c>
      <c r="T23" s="97" t="b">
        <v>1</v>
      </c>
      <c r="U23" s="78">
        <v>25</v>
      </c>
      <c r="V23" s="78">
        <v>820</v>
      </c>
    </row>
    <row r="24" spans="2:22">
      <c r="B24" s="73">
        <f>IF(CreditEvents[[#This Row],[Active]]=TRUE,1,0)</f>
        <v>0</v>
      </c>
      <c r="C24" s="75" t="b">
        <v>0</v>
      </c>
      <c r="D24" s="73" t="s">
        <v>640</v>
      </c>
      <c r="E24" s="76" t="s">
        <v>641</v>
      </c>
      <c r="F24" s="97" t="b">
        <v>0</v>
      </c>
      <c r="G24" s="74"/>
      <c r="H24" s="97" t="b">
        <v>0</v>
      </c>
      <c r="I24" s="74"/>
      <c r="J24" s="72"/>
      <c r="K24" s="74" t="s">
        <v>53</v>
      </c>
      <c r="L24" s="74" t="s">
        <v>198</v>
      </c>
      <c r="M24" s="83">
        <v>25000</v>
      </c>
      <c r="N24" s="94"/>
      <c r="O24" s="94"/>
      <c r="P24" s="94" t="s">
        <v>602</v>
      </c>
      <c r="Q24" s="83">
        <v>10</v>
      </c>
      <c r="R24" s="97">
        <v>365</v>
      </c>
      <c r="S24" s="97" t="b">
        <v>1</v>
      </c>
      <c r="T24" s="97" t="b">
        <v>1</v>
      </c>
      <c r="U24" s="78">
        <v>25</v>
      </c>
      <c r="V24" s="78">
        <v>821</v>
      </c>
    </row>
    <row r="25" spans="2:22">
      <c r="B25" s="73">
        <f>IF(CreditEvents[[#This Row],[Active]]=TRUE,1,0)</f>
        <v>1</v>
      </c>
      <c r="C25" s="75" t="b">
        <v>1</v>
      </c>
      <c r="D25" s="73" t="s">
        <v>620</v>
      </c>
      <c r="E25" s="76" t="s">
        <v>1246</v>
      </c>
      <c r="F25" s="97" t="b">
        <v>0</v>
      </c>
      <c r="G25" s="74"/>
      <c r="H25" s="97" t="b">
        <v>0</v>
      </c>
      <c r="I25" s="74"/>
      <c r="J25" s="72"/>
      <c r="K25" s="74" t="s">
        <v>53</v>
      </c>
      <c r="L25" s="74"/>
      <c r="M25" s="83"/>
      <c r="N25" s="94"/>
      <c r="O25" s="94"/>
      <c r="P25" s="94" t="s">
        <v>602</v>
      </c>
      <c r="Q25" s="83">
        <v>10</v>
      </c>
      <c r="R25" s="97">
        <v>365</v>
      </c>
      <c r="S25" s="97" t="b">
        <v>1</v>
      </c>
      <c r="T25" s="97" t="b">
        <v>0</v>
      </c>
      <c r="U25" s="78">
        <v>25</v>
      </c>
      <c r="V25" s="78">
        <v>822</v>
      </c>
    </row>
    <row r="26" spans="2:22">
      <c r="B26" s="73">
        <f>IF(CreditEvents[[#This Row],[Active]]=TRUE,1,0)</f>
        <v>1</v>
      </c>
      <c r="C26" s="75" t="b">
        <v>1</v>
      </c>
      <c r="D26" s="73" t="s">
        <v>1247</v>
      </c>
      <c r="E26" s="76" t="s">
        <v>1251</v>
      </c>
      <c r="F26" s="97" t="b">
        <v>0</v>
      </c>
      <c r="G26" s="74"/>
      <c r="H26" s="97" t="b">
        <v>0</v>
      </c>
      <c r="I26" s="74" t="s">
        <v>958</v>
      </c>
      <c r="J26" s="72"/>
      <c r="K26" s="74" t="s">
        <v>49</v>
      </c>
      <c r="L26" s="74" t="s">
        <v>54</v>
      </c>
      <c r="M26" s="83">
        <v>250000</v>
      </c>
      <c r="N26" s="94"/>
      <c r="O26" s="94"/>
      <c r="P26" s="94" t="s">
        <v>602</v>
      </c>
      <c r="Q26" s="83"/>
      <c r="R26" s="97">
        <v>365</v>
      </c>
      <c r="S26" s="97" t="b">
        <v>1</v>
      </c>
      <c r="T26" s="97" t="b">
        <v>0</v>
      </c>
      <c r="U26" s="78">
        <v>25</v>
      </c>
      <c r="V26" s="78">
        <v>823</v>
      </c>
    </row>
    <row r="27" spans="2:22">
      <c r="B27" s="73">
        <f>IF(CreditEvents[[#This Row],[Active]]=TRUE,1,0)</f>
        <v>1</v>
      </c>
      <c r="C27" s="75" t="b">
        <v>1</v>
      </c>
      <c r="D27" s="73" t="s">
        <v>1247</v>
      </c>
      <c r="E27" s="76" t="s">
        <v>1251</v>
      </c>
      <c r="F27" s="97" t="b">
        <v>0</v>
      </c>
      <c r="G27" s="74"/>
      <c r="H27" s="97" t="b">
        <v>0</v>
      </c>
      <c r="I27" s="74" t="s">
        <v>960</v>
      </c>
      <c r="J27" s="72"/>
      <c r="K27" s="74" t="s">
        <v>49</v>
      </c>
      <c r="L27" s="74" t="s">
        <v>54</v>
      </c>
      <c r="M27" s="83">
        <v>250000</v>
      </c>
      <c r="N27" s="94"/>
      <c r="O27" s="94"/>
      <c r="P27" s="94" t="s">
        <v>602</v>
      </c>
      <c r="Q27" s="83"/>
      <c r="R27" s="97">
        <v>365</v>
      </c>
      <c r="S27" s="97" t="b">
        <v>1</v>
      </c>
      <c r="T27" s="97" t="b">
        <v>0</v>
      </c>
      <c r="U27" s="78">
        <v>25</v>
      </c>
      <c r="V27" s="78">
        <v>824</v>
      </c>
    </row>
    <row r="28" spans="2:22">
      <c r="B28" s="73">
        <f>IF(CreditEvents[[#This Row],[Active]]=TRUE,1,0)</f>
        <v>1</v>
      </c>
      <c r="C28" s="75" t="b">
        <v>1</v>
      </c>
      <c r="D28" s="73" t="s">
        <v>1247</v>
      </c>
      <c r="E28" s="76" t="s">
        <v>1251</v>
      </c>
      <c r="F28" s="97" t="b">
        <v>0</v>
      </c>
      <c r="G28" s="74"/>
      <c r="H28" s="97" t="b">
        <v>0</v>
      </c>
      <c r="I28" s="74" t="s">
        <v>961</v>
      </c>
      <c r="J28" s="72"/>
      <c r="K28" s="74" t="s">
        <v>49</v>
      </c>
      <c r="L28" s="74" t="s">
        <v>54</v>
      </c>
      <c r="M28" s="83">
        <v>250000</v>
      </c>
      <c r="N28" s="94"/>
      <c r="O28" s="94"/>
      <c r="P28" s="94" t="s">
        <v>602</v>
      </c>
      <c r="Q28" s="83"/>
      <c r="R28" s="97">
        <v>365</v>
      </c>
      <c r="S28" s="97" t="b">
        <v>1</v>
      </c>
      <c r="T28" s="97" t="b">
        <v>0</v>
      </c>
      <c r="U28" s="78">
        <v>25</v>
      </c>
      <c r="V28" s="78">
        <v>825</v>
      </c>
    </row>
    <row r="29" spans="2:22">
      <c r="B29" s="73">
        <f>IF(CreditEvents[[#This Row],[Active]]=TRUE,1,0)</f>
        <v>1</v>
      </c>
      <c r="C29" s="75" t="b">
        <v>1</v>
      </c>
      <c r="D29" s="73" t="s">
        <v>1247</v>
      </c>
      <c r="E29" s="76" t="s">
        <v>1251</v>
      </c>
      <c r="F29" s="97" t="b">
        <v>0</v>
      </c>
      <c r="G29" s="74"/>
      <c r="H29" s="97" t="b">
        <v>0</v>
      </c>
      <c r="I29" s="74" t="s">
        <v>962</v>
      </c>
      <c r="J29" s="72"/>
      <c r="K29" s="74" t="s">
        <v>49</v>
      </c>
      <c r="L29" s="74" t="s">
        <v>54</v>
      </c>
      <c r="M29" s="83">
        <v>250000</v>
      </c>
      <c r="N29" s="94"/>
      <c r="O29" s="94"/>
      <c r="P29" s="94" t="s">
        <v>602</v>
      </c>
      <c r="Q29" s="83"/>
      <c r="R29" s="97">
        <v>365</v>
      </c>
      <c r="S29" s="97" t="b">
        <v>1</v>
      </c>
      <c r="T29" s="97" t="b">
        <v>0</v>
      </c>
      <c r="U29" s="78">
        <v>25</v>
      </c>
      <c r="V29" s="78">
        <v>826</v>
      </c>
    </row>
    <row r="30" spans="2:22">
      <c r="B30" s="73">
        <f>IF(CreditEvents[[#This Row],[Active]]=TRUE,1,0)</f>
        <v>1</v>
      </c>
      <c r="C30" s="75" t="b">
        <v>1</v>
      </c>
      <c r="D30" s="73" t="s">
        <v>1247</v>
      </c>
      <c r="E30" s="76" t="s">
        <v>1251</v>
      </c>
      <c r="F30" s="97" t="b">
        <v>0</v>
      </c>
      <c r="G30" s="74"/>
      <c r="H30" s="97" t="b">
        <v>0</v>
      </c>
      <c r="I30" s="74" t="s">
        <v>963</v>
      </c>
      <c r="J30" s="72"/>
      <c r="K30" s="74" t="s">
        <v>49</v>
      </c>
      <c r="L30" s="74" t="s">
        <v>54</v>
      </c>
      <c r="M30" s="83">
        <v>250000</v>
      </c>
      <c r="N30" s="94"/>
      <c r="O30" s="94"/>
      <c r="P30" s="94" t="s">
        <v>602</v>
      </c>
      <c r="Q30" s="83"/>
      <c r="R30" s="97">
        <v>365</v>
      </c>
      <c r="S30" s="97" t="b">
        <v>1</v>
      </c>
      <c r="T30" s="97" t="b">
        <v>0</v>
      </c>
      <c r="U30" s="78">
        <v>25</v>
      </c>
      <c r="V30" s="78">
        <v>827</v>
      </c>
    </row>
    <row r="31" spans="2:22">
      <c r="B31" s="73">
        <f>IF(CreditEvents[[#This Row],[Active]]=TRUE,1,0)</f>
        <v>1</v>
      </c>
      <c r="C31" s="75" t="b">
        <v>1</v>
      </c>
      <c r="D31" s="73" t="s">
        <v>1247</v>
      </c>
      <c r="E31" s="76" t="s">
        <v>1251</v>
      </c>
      <c r="F31" s="97" t="b">
        <v>0</v>
      </c>
      <c r="G31" s="74"/>
      <c r="H31" s="97" t="b">
        <v>0</v>
      </c>
      <c r="I31" s="74" t="s">
        <v>964</v>
      </c>
      <c r="J31" s="72"/>
      <c r="K31" s="74" t="s">
        <v>49</v>
      </c>
      <c r="L31" s="74" t="s">
        <v>54</v>
      </c>
      <c r="M31" s="83">
        <v>50000</v>
      </c>
      <c r="N31" s="94"/>
      <c r="O31" s="94"/>
      <c r="P31" s="94" t="s">
        <v>602</v>
      </c>
      <c r="Q31" s="83"/>
      <c r="R31" s="97">
        <v>365</v>
      </c>
      <c r="S31" s="97" t="b">
        <v>1</v>
      </c>
      <c r="T31" s="97" t="b">
        <v>0</v>
      </c>
      <c r="U31" s="78">
        <v>25</v>
      </c>
      <c r="V31" s="78">
        <v>828</v>
      </c>
    </row>
    <row r="32" spans="2:22">
      <c r="B32" s="73">
        <f>IF(CreditEvents[[#This Row],[Active]]=TRUE,1,0)</f>
        <v>1</v>
      </c>
      <c r="C32" s="75" t="b">
        <v>1</v>
      </c>
      <c r="D32" s="73" t="s">
        <v>1247</v>
      </c>
      <c r="E32" s="76" t="s">
        <v>1251</v>
      </c>
      <c r="F32" s="97" t="b">
        <v>0</v>
      </c>
      <c r="G32" s="74"/>
      <c r="H32" s="97" t="b">
        <v>0</v>
      </c>
      <c r="I32" s="74" t="s">
        <v>965</v>
      </c>
      <c r="J32" s="72"/>
      <c r="K32" s="74" t="s">
        <v>49</v>
      </c>
      <c r="L32" s="74" t="s">
        <v>54</v>
      </c>
      <c r="M32" s="83">
        <v>50000</v>
      </c>
      <c r="N32" s="94"/>
      <c r="O32" s="94"/>
      <c r="P32" s="94" t="s">
        <v>602</v>
      </c>
      <c r="Q32" s="83"/>
      <c r="R32" s="97">
        <v>365</v>
      </c>
      <c r="S32" s="97" t="b">
        <v>1</v>
      </c>
      <c r="T32" s="97" t="b">
        <v>0</v>
      </c>
      <c r="U32" s="78">
        <v>25</v>
      </c>
      <c r="V32" s="78">
        <v>829</v>
      </c>
    </row>
    <row r="33" spans="2:22">
      <c r="B33" s="73">
        <f>IF(CreditEvents[[#This Row],[Active]]=TRUE,1,0)</f>
        <v>1</v>
      </c>
      <c r="C33" s="75" t="b">
        <v>1</v>
      </c>
      <c r="D33" s="73" t="s">
        <v>1248</v>
      </c>
      <c r="E33" s="76" t="s">
        <v>1257</v>
      </c>
      <c r="F33" s="97" t="b">
        <v>0</v>
      </c>
      <c r="G33" s="74"/>
      <c r="H33" s="97" t="b">
        <v>0</v>
      </c>
      <c r="I33" s="74" t="s">
        <v>967</v>
      </c>
      <c r="J33" s="72"/>
      <c r="K33" s="74" t="s">
        <v>49</v>
      </c>
      <c r="L33" s="74" t="s">
        <v>79</v>
      </c>
      <c r="M33" s="83">
        <v>300000</v>
      </c>
      <c r="N33" s="94"/>
      <c r="O33" s="94"/>
      <c r="P33" s="94" t="s">
        <v>602</v>
      </c>
      <c r="Q33" s="83">
        <v>2</v>
      </c>
      <c r="R33" s="97">
        <v>365</v>
      </c>
      <c r="S33" s="97" t="b">
        <v>1</v>
      </c>
      <c r="T33" s="97" t="b">
        <v>0</v>
      </c>
      <c r="U33" s="78">
        <v>25</v>
      </c>
      <c r="V33" s="78">
        <v>830</v>
      </c>
    </row>
    <row r="34" spans="2:22">
      <c r="B34" s="73">
        <f>IF(CreditEvents[[#This Row],[Active]]=TRUE,1,0)</f>
        <v>1</v>
      </c>
      <c r="C34" s="75" t="b">
        <v>1</v>
      </c>
      <c r="D34" s="73" t="s">
        <v>1248</v>
      </c>
      <c r="E34" s="76" t="s">
        <v>1257</v>
      </c>
      <c r="F34" s="97" t="b">
        <v>0</v>
      </c>
      <c r="G34" s="74"/>
      <c r="H34" s="97" t="b">
        <v>0</v>
      </c>
      <c r="I34" s="74" t="s">
        <v>969</v>
      </c>
      <c r="J34" s="72"/>
      <c r="K34" s="74" t="s">
        <v>49</v>
      </c>
      <c r="L34" s="74" t="s">
        <v>79</v>
      </c>
      <c r="M34" s="83">
        <v>300000</v>
      </c>
      <c r="N34" s="94"/>
      <c r="O34" s="94"/>
      <c r="P34" s="94" t="s">
        <v>602</v>
      </c>
      <c r="Q34" s="83">
        <v>2</v>
      </c>
      <c r="R34" s="97">
        <v>365</v>
      </c>
      <c r="S34" s="97" t="b">
        <v>1</v>
      </c>
      <c r="T34" s="97" t="b">
        <v>0</v>
      </c>
      <c r="U34" s="78">
        <v>25</v>
      </c>
      <c r="V34" s="78">
        <v>831</v>
      </c>
    </row>
    <row r="35" spans="2:22">
      <c r="B35" s="73">
        <f>IF(CreditEvents[[#This Row],[Active]]=TRUE,1,0)</f>
        <v>1</v>
      </c>
      <c r="C35" s="75" t="b">
        <v>1</v>
      </c>
      <c r="D35" s="73" t="s">
        <v>1248</v>
      </c>
      <c r="E35" s="76" t="s">
        <v>1257</v>
      </c>
      <c r="F35" s="97" t="b">
        <v>0</v>
      </c>
      <c r="G35" s="74"/>
      <c r="H35" s="97" t="b">
        <v>0</v>
      </c>
      <c r="I35" s="74" t="s">
        <v>971</v>
      </c>
      <c r="J35" s="72"/>
      <c r="K35" s="74" t="s">
        <v>49</v>
      </c>
      <c r="L35" s="74" t="s">
        <v>79</v>
      </c>
      <c r="M35" s="83">
        <v>50000</v>
      </c>
      <c r="N35" s="94"/>
      <c r="O35" s="94"/>
      <c r="P35" s="94" t="s">
        <v>602</v>
      </c>
      <c r="Q35" s="83">
        <v>2</v>
      </c>
      <c r="R35" s="97">
        <v>365</v>
      </c>
      <c r="S35" s="97" t="b">
        <v>1</v>
      </c>
      <c r="T35" s="97" t="b">
        <v>0</v>
      </c>
      <c r="U35" s="78">
        <v>25</v>
      </c>
      <c r="V35" s="78">
        <v>832</v>
      </c>
    </row>
    <row r="36" spans="2:22">
      <c r="B36" s="73">
        <f>IF(CreditEvents[[#This Row],[Active]]=TRUE,1,0)</f>
        <v>1</v>
      </c>
      <c r="C36" s="75" t="b">
        <v>1</v>
      </c>
      <c r="D36" s="73" t="s">
        <v>1249</v>
      </c>
      <c r="E36" s="76" t="s">
        <v>1258</v>
      </c>
      <c r="F36" s="97" t="b">
        <v>0</v>
      </c>
      <c r="G36" s="74"/>
      <c r="H36" s="97" t="b">
        <v>0</v>
      </c>
      <c r="I36" s="74" t="s">
        <v>972</v>
      </c>
      <c r="J36" s="72"/>
      <c r="K36" s="74" t="s">
        <v>49</v>
      </c>
      <c r="L36" s="74" t="s">
        <v>85</v>
      </c>
      <c r="M36" s="83">
        <v>500000</v>
      </c>
      <c r="N36" s="94"/>
      <c r="O36" s="94"/>
      <c r="P36" s="94" t="s">
        <v>602</v>
      </c>
      <c r="Q36" s="83">
        <v>11</v>
      </c>
      <c r="R36" s="97">
        <v>365</v>
      </c>
      <c r="S36" s="97" t="b">
        <v>1</v>
      </c>
      <c r="T36" s="97" t="b">
        <v>0</v>
      </c>
      <c r="U36" s="78">
        <v>25</v>
      </c>
      <c r="V36" s="78">
        <v>833</v>
      </c>
    </row>
    <row r="37" spans="2:22">
      <c r="B37" s="73">
        <f>IF(CreditEvents[[#This Row],[Active]]=TRUE,1,0)</f>
        <v>1</v>
      </c>
      <c r="C37" s="75" t="b">
        <v>1</v>
      </c>
      <c r="D37" s="73" t="s">
        <v>1250</v>
      </c>
      <c r="E37" s="76" t="s">
        <v>1264</v>
      </c>
      <c r="F37" s="97" t="b">
        <v>0</v>
      </c>
      <c r="G37" s="74"/>
      <c r="H37" s="97" t="b">
        <v>0</v>
      </c>
      <c r="I37" s="74" t="s">
        <v>974</v>
      </c>
      <c r="J37" s="72"/>
      <c r="K37" s="74" t="s">
        <v>49</v>
      </c>
      <c r="L37" s="74" t="s">
        <v>67</v>
      </c>
      <c r="M37" s="83">
        <v>75000</v>
      </c>
      <c r="N37" s="94"/>
      <c r="O37" s="94"/>
      <c r="P37" s="94" t="s">
        <v>602</v>
      </c>
      <c r="Q37" s="83"/>
      <c r="R37" s="97">
        <v>365</v>
      </c>
      <c r="S37" s="97" t="b">
        <v>1</v>
      </c>
      <c r="T37" s="97" t="b">
        <v>0</v>
      </c>
      <c r="U37" s="78">
        <v>25</v>
      </c>
      <c r="V37" s="78">
        <v>834</v>
      </c>
    </row>
    <row r="38" spans="2:22">
      <c r="B38" s="73">
        <f>IF(CreditEvents[[#This Row],[Active]]=TRUE,1,0)</f>
        <v>1</v>
      </c>
      <c r="C38" s="75" t="b">
        <v>1</v>
      </c>
      <c r="D38" s="73" t="s">
        <v>1250</v>
      </c>
      <c r="E38" s="76" t="s">
        <v>1264</v>
      </c>
      <c r="F38" s="97" t="b">
        <v>0</v>
      </c>
      <c r="G38" s="74"/>
      <c r="H38" s="97" t="b">
        <v>0</v>
      </c>
      <c r="I38" s="74" t="s">
        <v>978</v>
      </c>
      <c r="J38" s="72"/>
      <c r="K38" s="74" t="s">
        <v>49</v>
      </c>
      <c r="L38" s="74" t="s">
        <v>67</v>
      </c>
      <c r="M38" s="83">
        <v>20000</v>
      </c>
      <c r="N38" s="94"/>
      <c r="O38" s="94"/>
      <c r="P38" s="94" t="s">
        <v>602</v>
      </c>
      <c r="Q38" s="83"/>
      <c r="R38" s="97">
        <v>365</v>
      </c>
      <c r="S38" s="97" t="b">
        <v>1</v>
      </c>
      <c r="T38" s="97" t="b">
        <v>0</v>
      </c>
      <c r="U38" s="78">
        <v>25</v>
      </c>
      <c r="V38" s="78">
        <v>835</v>
      </c>
    </row>
    <row r="39" spans="2:22">
      <c r="B39" s="73">
        <f>IF(CreditEvents[[#This Row],[Active]]=TRUE,1,0)</f>
        <v>1</v>
      </c>
      <c r="C39" s="75" t="b">
        <v>1</v>
      </c>
      <c r="D39" s="73" t="s">
        <v>1250</v>
      </c>
      <c r="E39" s="76" t="s">
        <v>1264</v>
      </c>
      <c r="F39" s="97" t="b">
        <v>0</v>
      </c>
      <c r="G39" s="74"/>
      <c r="H39" s="97" t="b">
        <v>0</v>
      </c>
      <c r="I39" s="74" t="s">
        <v>979</v>
      </c>
      <c r="J39" s="72"/>
      <c r="K39" s="74" t="s">
        <v>49</v>
      </c>
      <c r="L39" s="74" t="s">
        <v>67</v>
      </c>
      <c r="M39" s="83">
        <v>50000</v>
      </c>
      <c r="N39" s="94"/>
      <c r="O39" s="94"/>
      <c r="P39" s="94" t="s">
        <v>602</v>
      </c>
      <c r="Q39" s="83"/>
      <c r="R39" s="97">
        <v>365</v>
      </c>
      <c r="S39" s="97" t="b">
        <v>1</v>
      </c>
      <c r="T39" s="97" t="b">
        <v>0</v>
      </c>
      <c r="U39" s="78">
        <v>25</v>
      </c>
      <c r="V39" s="78">
        <v>836</v>
      </c>
    </row>
    <row r="40" spans="2:22">
      <c r="B40" s="73">
        <f>IF(CreditEvents[[#This Row],[Active]]=TRUE,1,0)</f>
        <v>1</v>
      </c>
      <c r="C40" s="75" t="b">
        <v>1</v>
      </c>
      <c r="D40" s="73" t="s">
        <v>1250</v>
      </c>
      <c r="E40" s="76" t="s">
        <v>1264</v>
      </c>
      <c r="F40" s="97" t="b">
        <v>0</v>
      </c>
      <c r="G40" s="74"/>
      <c r="H40" s="97" t="b">
        <v>0</v>
      </c>
      <c r="I40" s="74" t="s">
        <v>980</v>
      </c>
      <c r="J40" s="72"/>
      <c r="K40" s="74" t="s">
        <v>49</v>
      </c>
      <c r="L40" s="74" t="s">
        <v>67</v>
      </c>
      <c r="M40" s="83">
        <v>50000</v>
      </c>
      <c r="N40" s="94"/>
      <c r="O40" s="94"/>
      <c r="P40" s="94" t="s">
        <v>602</v>
      </c>
      <c r="Q40" s="83"/>
      <c r="R40" s="97">
        <v>365</v>
      </c>
      <c r="S40" s="97" t="b">
        <v>1</v>
      </c>
      <c r="T40" s="97" t="b">
        <v>0</v>
      </c>
      <c r="U40" s="78">
        <v>25</v>
      </c>
      <c r="V40" s="78">
        <v>837</v>
      </c>
    </row>
    <row r="41" spans="2:22">
      <c r="B41" s="73">
        <f>IF(CreditEvents[[#This Row],[Active]]=TRUE,1,0)</f>
        <v>1</v>
      </c>
      <c r="C41" s="75" t="b">
        <v>1</v>
      </c>
      <c r="D41" s="73" t="s">
        <v>1250</v>
      </c>
      <c r="E41" s="76" t="s">
        <v>1264</v>
      </c>
      <c r="F41" s="97" t="b">
        <v>0</v>
      </c>
      <c r="G41" s="74"/>
      <c r="H41" s="97" t="b">
        <v>0</v>
      </c>
      <c r="I41" s="74" t="s">
        <v>981</v>
      </c>
      <c r="J41" s="72"/>
      <c r="K41" s="74" t="s">
        <v>49</v>
      </c>
      <c r="L41" s="74" t="s">
        <v>67</v>
      </c>
      <c r="M41" s="83">
        <v>50000</v>
      </c>
      <c r="N41" s="94"/>
      <c r="O41" s="94"/>
      <c r="P41" s="94" t="s">
        <v>602</v>
      </c>
      <c r="Q41" s="83"/>
      <c r="R41" s="97">
        <v>365</v>
      </c>
      <c r="S41" s="97" t="b">
        <v>1</v>
      </c>
      <c r="T41" s="97" t="b">
        <v>0</v>
      </c>
      <c r="U41" s="78">
        <v>25</v>
      </c>
      <c r="V41" s="78">
        <v>838</v>
      </c>
    </row>
    <row r="42" spans="2:22">
      <c r="B42" s="73">
        <f>IF(CreditEvents[[#This Row],[Active]]=TRUE,1,0)</f>
        <v>1</v>
      </c>
      <c r="C42" s="75" t="b">
        <v>1</v>
      </c>
      <c r="D42" s="73" t="s">
        <v>1252</v>
      </c>
      <c r="E42" s="76" t="s">
        <v>1259</v>
      </c>
      <c r="F42" s="97" t="b">
        <v>0</v>
      </c>
      <c r="G42" s="74"/>
      <c r="H42" s="97" t="b">
        <v>0</v>
      </c>
      <c r="I42" s="74" t="s">
        <v>982</v>
      </c>
      <c r="J42" s="72"/>
      <c r="K42" s="74" t="s">
        <v>53</v>
      </c>
      <c r="L42" s="74" t="s">
        <v>120</v>
      </c>
      <c r="M42" s="83">
        <v>25000</v>
      </c>
      <c r="N42" s="94"/>
      <c r="O42" s="94"/>
      <c r="P42" s="94" t="s">
        <v>602</v>
      </c>
      <c r="Q42" s="83"/>
      <c r="R42" s="97">
        <v>365</v>
      </c>
      <c r="S42" s="97" t="b">
        <v>1</v>
      </c>
      <c r="T42" s="97" t="b">
        <v>0</v>
      </c>
      <c r="U42" s="78">
        <v>25</v>
      </c>
      <c r="V42" s="78">
        <v>839</v>
      </c>
    </row>
    <row r="43" spans="2:22">
      <c r="B43" s="73">
        <f>IF(CreditEvents[[#This Row],[Active]]=TRUE,1,0)</f>
        <v>1</v>
      </c>
      <c r="C43" s="75" t="b">
        <v>1</v>
      </c>
      <c r="D43" s="73" t="s">
        <v>1252</v>
      </c>
      <c r="E43" s="76" t="s">
        <v>1259</v>
      </c>
      <c r="F43" s="97" t="b">
        <v>0</v>
      </c>
      <c r="G43" s="74"/>
      <c r="H43" s="97" t="b">
        <v>0</v>
      </c>
      <c r="I43" s="74" t="s">
        <v>984</v>
      </c>
      <c r="J43" s="72"/>
      <c r="K43" s="74" t="s">
        <v>53</v>
      </c>
      <c r="L43" s="74" t="s">
        <v>120</v>
      </c>
      <c r="M43" s="83">
        <v>300000</v>
      </c>
      <c r="N43" s="94"/>
      <c r="O43" s="94"/>
      <c r="P43" s="94" t="s">
        <v>602</v>
      </c>
      <c r="Q43" s="83"/>
      <c r="R43" s="97">
        <v>365</v>
      </c>
      <c r="S43" s="97" t="b">
        <v>1</v>
      </c>
      <c r="T43" s="97" t="b">
        <v>0</v>
      </c>
      <c r="U43" s="78">
        <v>25</v>
      </c>
      <c r="V43" s="78">
        <v>840</v>
      </c>
    </row>
    <row r="44" spans="2:22">
      <c r="B44" s="73">
        <f>IF(CreditEvents[[#This Row],[Active]]=TRUE,1,0)</f>
        <v>1</v>
      </c>
      <c r="C44" s="75" t="b">
        <v>1</v>
      </c>
      <c r="D44" s="73" t="s">
        <v>1252</v>
      </c>
      <c r="E44" s="76" t="s">
        <v>1259</v>
      </c>
      <c r="F44" s="97" t="b">
        <v>0</v>
      </c>
      <c r="G44" s="74"/>
      <c r="H44" s="97" t="b">
        <v>0</v>
      </c>
      <c r="I44" s="74" t="s">
        <v>985</v>
      </c>
      <c r="J44" s="72"/>
      <c r="K44" s="74" t="s">
        <v>53</v>
      </c>
      <c r="L44" s="74" t="s">
        <v>98</v>
      </c>
      <c r="M44" s="83">
        <v>20000</v>
      </c>
      <c r="N44" s="94"/>
      <c r="O44" s="94"/>
      <c r="P44" s="94" t="s">
        <v>602</v>
      </c>
      <c r="Q44" s="83"/>
      <c r="R44" s="97">
        <v>365</v>
      </c>
      <c r="S44" s="97" t="b">
        <v>1</v>
      </c>
      <c r="T44" s="97" t="b">
        <v>0</v>
      </c>
      <c r="U44" s="78">
        <v>25</v>
      </c>
      <c r="V44" s="78">
        <v>841</v>
      </c>
    </row>
    <row r="45" spans="2:22">
      <c r="B45" s="73">
        <f>IF(CreditEvents[[#This Row],[Active]]=TRUE,1,0)</f>
        <v>1</v>
      </c>
      <c r="C45" s="75" t="b">
        <v>1</v>
      </c>
      <c r="D45" s="73" t="s">
        <v>1269</v>
      </c>
      <c r="E45" s="76" t="s">
        <v>1265</v>
      </c>
      <c r="F45" s="97" t="b">
        <v>0</v>
      </c>
      <c r="G45" s="74"/>
      <c r="H45" s="97" t="b">
        <v>0</v>
      </c>
      <c r="I45" s="74"/>
      <c r="J45" s="72"/>
      <c r="K45" s="74" t="s">
        <v>693</v>
      </c>
      <c r="L45" s="74"/>
      <c r="M45" s="83"/>
      <c r="N45" s="94"/>
      <c r="O45" s="94"/>
      <c r="P45" s="94" t="s">
        <v>602</v>
      </c>
      <c r="Q45" s="83">
        <v>20</v>
      </c>
      <c r="R45" s="97">
        <v>365</v>
      </c>
      <c r="S45" s="97" t="b">
        <v>1</v>
      </c>
      <c r="T45" s="97" t="b">
        <v>0</v>
      </c>
      <c r="U45" s="78">
        <v>25</v>
      </c>
      <c r="V45" s="78">
        <v>842</v>
      </c>
    </row>
    <row r="46" spans="2:22">
      <c r="B46" s="73">
        <f>IF(CreditEvents[[#This Row],[Active]]=TRUE,1,0)</f>
        <v>1</v>
      </c>
      <c r="C46" s="75" t="b">
        <v>1</v>
      </c>
      <c r="D46" s="73" t="s">
        <v>1253</v>
      </c>
      <c r="E46" s="76" t="s">
        <v>1260</v>
      </c>
      <c r="F46" s="97" t="b">
        <v>0</v>
      </c>
      <c r="G46" s="74"/>
      <c r="H46" s="97" t="b">
        <v>0</v>
      </c>
      <c r="I46" s="74" t="s">
        <v>987</v>
      </c>
      <c r="J46" s="72"/>
      <c r="K46" s="74" t="s">
        <v>693</v>
      </c>
      <c r="L46" s="74" t="s">
        <v>705</v>
      </c>
      <c r="M46" s="83">
        <v>20000</v>
      </c>
      <c r="N46" s="94"/>
      <c r="O46" s="94"/>
      <c r="P46" s="94" t="s">
        <v>602</v>
      </c>
      <c r="Q46" s="83">
        <v>20</v>
      </c>
      <c r="R46" s="97">
        <v>365</v>
      </c>
      <c r="S46" s="97" t="b">
        <v>1</v>
      </c>
      <c r="T46" s="97" t="b">
        <v>0</v>
      </c>
      <c r="U46" s="78">
        <v>25</v>
      </c>
      <c r="V46" s="78">
        <v>843</v>
      </c>
    </row>
    <row r="47" spans="2:22">
      <c r="B47" s="73">
        <f>IF(CreditEvents[[#This Row],[Active]]=TRUE,1,0)</f>
        <v>1</v>
      </c>
      <c r="C47" s="75" t="b">
        <v>1</v>
      </c>
      <c r="D47" s="73" t="s">
        <v>1254</v>
      </c>
      <c r="E47" s="76" t="s">
        <v>1261</v>
      </c>
      <c r="F47" s="97" t="b">
        <v>0</v>
      </c>
      <c r="G47" s="74"/>
      <c r="H47" s="97" t="b">
        <v>0</v>
      </c>
      <c r="I47" s="74" t="s">
        <v>989</v>
      </c>
      <c r="J47" s="72"/>
      <c r="K47" s="74" t="s">
        <v>693</v>
      </c>
      <c r="L47" s="74" t="s">
        <v>708</v>
      </c>
      <c r="M47" s="83">
        <v>20000</v>
      </c>
      <c r="N47" s="94"/>
      <c r="O47" s="94"/>
      <c r="P47" s="94" t="s">
        <v>602</v>
      </c>
      <c r="Q47" s="83">
        <v>20</v>
      </c>
      <c r="R47" s="97">
        <v>365</v>
      </c>
      <c r="S47" s="97" t="b">
        <v>1</v>
      </c>
      <c r="T47" s="97" t="b">
        <v>0</v>
      </c>
      <c r="U47" s="78">
        <v>25</v>
      </c>
      <c r="V47" s="78">
        <v>844</v>
      </c>
    </row>
    <row r="48" spans="2:22">
      <c r="B48" s="73">
        <f>IF(CreditEvents[[#This Row],[Active]]=TRUE,1,0)</f>
        <v>1</v>
      </c>
      <c r="C48" s="75" t="b">
        <v>1</v>
      </c>
      <c r="D48" s="73" t="s">
        <v>1255</v>
      </c>
      <c r="E48" s="76" t="s">
        <v>1262</v>
      </c>
      <c r="F48" s="97" t="b">
        <v>0</v>
      </c>
      <c r="G48" s="74"/>
      <c r="H48" s="97" t="b">
        <v>0</v>
      </c>
      <c r="I48" s="74" t="s">
        <v>991</v>
      </c>
      <c r="J48" s="72"/>
      <c r="K48" s="74" t="s">
        <v>693</v>
      </c>
      <c r="L48" s="74" t="s">
        <v>708</v>
      </c>
      <c r="M48" s="83">
        <v>155000</v>
      </c>
      <c r="N48" s="94"/>
      <c r="O48" s="94"/>
      <c r="P48" s="94" t="s">
        <v>602</v>
      </c>
      <c r="Q48" s="83">
        <v>20</v>
      </c>
      <c r="R48" s="97">
        <v>365</v>
      </c>
      <c r="S48" s="97" t="b">
        <v>1</v>
      </c>
      <c r="T48" s="97" t="b">
        <v>0</v>
      </c>
      <c r="U48" s="78">
        <v>25</v>
      </c>
      <c r="V48" s="78">
        <v>845</v>
      </c>
    </row>
    <row r="49" spans="2:22">
      <c r="B49" s="73">
        <f>IF(CreditEvents[[#This Row],[Active]]=TRUE,1,0)</f>
        <v>1</v>
      </c>
      <c r="C49" s="75" t="b">
        <v>1</v>
      </c>
      <c r="D49" s="73" t="s">
        <v>1255</v>
      </c>
      <c r="E49" s="76" t="s">
        <v>1262</v>
      </c>
      <c r="F49" s="97" t="b">
        <v>0</v>
      </c>
      <c r="G49" s="74"/>
      <c r="H49" s="97" t="b">
        <v>0</v>
      </c>
      <c r="I49" s="74" t="s">
        <v>993</v>
      </c>
      <c r="J49" s="72"/>
      <c r="K49" s="74" t="s">
        <v>693</v>
      </c>
      <c r="L49" s="74" t="s">
        <v>708</v>
      </c>
      <c r="M49" s="83">
        <v>75000</v>
      </c>
      <c r="N49" s="94"/>
      <c r="O49" s="94"/>
      <c r="P49" s="94" t="s">
        <v>602</v>
      </c>
      <c r="Q49" s="83">
        <v>20</v>
      </c>
      <c r="R49" s="97">
        <v>365</v>
      </c>
      <c r="S49" s="97" t="b">
        <v>1</v>
      </c>
      <c r="T49" s="97" t="b">
        <v>0</v>
      </c>
      <c r="U49" s="78">
        <v>25</v>
      </c>
      <c r="V49" s="78">
        <v>846</v>
      </c>
    </row>
    <row r="50" spans="2:22">
      <c r="B50" s="73">
        <f>IF(CreditEvents[[#This Row],[Active]]=TRUE,1,0)</f>
        <v>1</v>
      </c>
      <c r="C50" s="75" t="b">
        <v>1</v>
      </c>
      <c r="D50" s="73" t="s">
        <v>1266</v>
      </c>
      <c r="E50" s="76" t="s">
        <v>1265</v>
      </c>
      <c r="F50" s="97" t="b">
        <v>0</v>
      </c>
      <c r="G50" s="74"/>
      <c r="H50" s="97" t="b">
        <v>0</v>
      </c>
      <c r="I50" s="74" t="s">
        <v>994</v>
      </c>
      <c r="J50" s="72"/>
      <c r="K50" s="74" t="s">
        <v>695</v>
      </c>
      <c r="L50" s="74"/>
      <c r="M50" s="83">
        <v>20000</v>
      </c>
      <c r="N50" s="94"/>
      <c r="O50" s="94"/>
      <c r="P50" s="94" t="s">
        <v>602</v>
      </c>
      <c r="Q50" s="83">
        <v>20</v>
      </c>
      <c r="R50" s="97">
        <v>365</v>
      </c>
      <c r="S50" s="97" t="b">
        <v>1</v>
      </c>
      <c r="T50" s="97" t="b">
        <v>0</v>
      </c>
      <c r="U50" s="78">
        <v>25</v>
      </c>
      <c r="V50" s="78">
        <v>847</v>
      </c>
    </row>
    <row r="51" spans="2:22">
      <c r="B51" s="73">
        <f>IF(CreditEvents[[#This Row],[Active]]=TRUE,1,0)</f>
        <v>1</v>
      </c>
      <c r="C51" s="75" t="b">
        <v>1</v>
      </c>
      <c r="D51" s="73" t="s">
        <v>1266</v>
      </c>
      <c r="E51" s="76" t="s">
        <v>1265</v>
      </c>
      <c r="F51" s="97" t="b">
        <v>0</v>
      </c>
      <c r="G51" s="74"/>
      <c r="H51" s="97" t="b">
        <v>0</v>
      </c>
      <c r="I51" s="74" t="s">
        <v>995</v>
      </c>
      <c r="J51" s="72"/>
      <c r="K51" s="74" t="s">
        <v>695</v>
      </c>
      <c r="L51" s="74"/>
      <c r="M51" s="83">
        <v>75000</v>
      </c>
      <c r="N51" s="94"/>
      <c r="O51" s="94"/>
      <c r="P51" s="94" t="s">
        <v>602</v>
      </c>
      <c r="Q51" s="83">
        <v>20</v>
      </c>
      <c r="R51" s="97">
        <v>365</v>
      </c>
      <c r="S51" s="97" t="b">
        <v>1</v>
      </c>
      <c r="T51" s="97" t="b">
        <v>0</v>
      </c>
      <c r="U51" s="78">
        <v>25</v>
      </c>
      <c r="V51" s="78">
        <v>848</v>
      </c>
    </row>
    <row r="52" spans="2:22">
      <c r="B52" s="73">
        <f>IF(CreditEvents[[#This Row],[Active]]=TRUE,1,0)</f>
        <v>1</v>
      </c>
      <c r="C52" s="75" t="b">
        <v>1</v>
      </c>
      <c r="D52" s="73" t="s">
        <v>1267</v>
      </c>
      <c r="E52" s="76" t="s">
        <v>1265</v>
      </c>
      <c r="F52" s="97" t="b">
        <v>0</v>
      </c>
      <c r="G52" s="74"/>
      <c r="H52" s="97" t="b">
        <v>0</v>
      </c>
      <c r="I52" s="74" t="s">
        <v>996</v>
      </c>
      <c r="J52" s="72"/>
      <c r="K52" s="74" t="s">
        <v>697</v>
      </c>
      <c r="L52" s="74"/>
      <c r="M52" s="83">
        <v>20000</v>
      </c>
      <c r="N52" s="94"/>
      <c r="O52" s="94"/>
      <c r="P52" s="94" t="s">
        <v>602</v>
      </c>
      <c r="Q52" s="83">
        <v>2</v>
      </c>
      <c r="R52" s="97">
        <v>365</v>
      </c>
      <c r="S52" s="97" t="b">
        <v>1</v>
      </c>
      <c r="T52" s="97" t="b">
        <v>0</v>
      </c>
      <c r="U52" s="78">
        <v>25</v>
      </c>
      <c r="V52" s="78">
        <v>849</v>
      </c>
    </row>
    <row r="53" spans="2:22">
      <c r="B53" s="73">
        <f>IF(CreditEvents[[#This Row],[Active]]=TRUE,1,0)</f>
        <v>1</v>
      </c>
      <c r="C53" s="75" t="b">
        <v>1</v>
      </c>
      <c r="D53" s="73" t="s">
        <v>1267</v>
      </c>
      <c r="E53" s="76" t="s">
        <v>1265</v>
      </c>
      <c r="F53" s="97" t="b">
        <v>0</v>
      </c>
      <c r="G53" s="74"/>
      <c r="H53" s="97" t="b">
        <v>0</v>
      </c>
      <c r="I53" s="74" t="s">
        <v>998</v>
      </c>
      <c r="J53" s="72"/>
      <c r="K53" s="74" t="s">
        <v>697</v>
      </c>
      <c r="L53" s="74"/>
      <c r="M53" s="83">
        <v>0</v>
      </c>
      <c r="N53" s="94"/>
      <c r="O53" s="94"/>
      <c r="P53" s="94" t="s">
        <v>602</v>
      </c>
      <c r="Q53" s="83">
        <v>2</v>
      </c>
      <c r="R53" s="97">
        <v>365</v>
      </c>
      <c r="S53" s="97" t="b">
        <v>1</v>
      </c>
      <c r="T53" s="97" t="b">
        <v>0</v>
      </c>
      <c r="U53" s="78">
        <v>25</v>
      </c>
      <c r="V53" s="78">
        <v>850</v>
      </c>
    </row>
    <row r="54" spans="2:22">
      <c r="B54" s="73">
        <f>IF(CreditEvents[[#This Row],[Active]]=TRUE,1,0)</f>
        <v>1</v>
      </c>
      <c r="C54" s="75" t="b">
        <v>1</v>
      </c>
      <c r="D54" s="73" t="s">
        <v>1268</v>
      </c>
      <c r="E54" s="76" t="s">
        <v>1265</v>
      </c>
      <c r="F54" s="97" t="b">
        <v>0</v>
      </c>
      <c r="G54" s="74"/>
      <c r="H54" s="97" t="b">
        <v>0</v>
      </c>
      <c r="I54" s="74" t="s">
        <v>999</v>
      </c>
      <c r="J54" s="72"/>
      <c r="K54" s="74" t="s">
        <v>703</v>
      </c>
      <c r="L54" s="74"/>
      <c r="M54" s="83">
        <v>0</v>
      </c>
      <c r="N54" s="94"/>
      <c r="O54" s="94"/>
      <c r="P54" s="94" t="s">
        <v>602</v>
      </c>
      <c r="Q54" s="83">
        <v>2</v>
      </c>
      <c r="R54" s="97">
        <v>365</v>
      </c>
      <c r="S54" s="97" t="b">
        <v>1</v>
      </c>
      <c r="T54" s="97" t="b">
        <v>0</v>
      </c>
      <c r="U54" s="78">
        <v>25</v>
      </c>
      <c r="V54" s="78">
        <v>851</v>
      </c>
    </row>
    <row r="55" spans="2:22">
      <c r="B55" s="73">
        <f>IF(CreditEvents[[#This Row],[Active]]=TRUE,1,0)</f>
        <v>1</v>
      </c>
      <c r="C55" s="75" t="b">
        <v>1</v>
      </c>
      <c r="D55" s="73" t="s">
        <v>1268</v>
      </c>
      <c r="E55" s="76" t="s">
        <v>1265</v>
      </c>
      <c r="F55" s="97" t="b">
        <v>0</v>
      </c>
      <c r="G55" s="74"/>
      <c r="H55" s="97" t="b">
        <v>0</v>
      </c>
      <c r="I55" s="74" t="s">
        <v>1000</v>
      </c>
      <c r="J55" s="72"/>
      <c r="K55" s="74" t="s">
        <v>703</v>
      </c>
      <c r="L55" s="74"/>
      <c r="M55" s="83">
        <v>0</v>
      </c>
      <c r="N55" s="94"/>
      <c r="O55" s="94"/>
      <c r="P55" s="94" t="s">
        <v>602</v>
      </c>
      <c r="Q55" s="83">
        <v>2</v>
      </c>
      <c r="R55" s="97">
        <v>365</v>
      </c>
      <c r="S55" s="97" t="b">
        <v>1</v>
      </c>
      <c r="T55" s="97" t="b">
        <v>0</v>
      </c>
      <c r="U55" s="78">
        <v>25</v>
      </c>
      <c r="V55" s="78">
        <v>852</v>
      </c>
    </row>
    <row r="56" spans="2:22">
      <c r="B56" s="73">
        <f>IF(CreditEvents[[#This Row],[Active]]=TRUE,1,0)</f>
        <v>0</v>
      </c>
      <c r="C56" s="75" t="b">
        <v>0</v>
      </c>
      <c r="D56" s="73" t="s">
        <v>1248</v>
      </c>
      <c r="E56" s="76" t="s">
        <v>1257</v>
      </c>
      <c r="F56" s="97" t="b">
        <v>0</v>
      </c>
      <c r="G56" s="74"/>
      <c r="H56" s="97" t="b">
        <v>0</v>
      </c>
      <c r="I56" s="74" t="s">
        <v>1001</v>
      </c>
      <c r="J56" s="72"/>
      <c r="K56" s="74" t="s">
        <v>49</v>
      </c>
      <c r="L56" s="74" t="s">
        <v>79</v>
      </c>
      <c r="M56" s="83">
        <v>200000</v>
      </c>
      <c r="N56" s="94"/>
      <c r="O56" s="94"/>
      <c r="P56" s="94" t="s">
        <v>602</v>
      </c>
      <c r="Q56" s="83">
        <v>0</v>
      </c>
      <c r="R56" s="97">
        <v>365</v>
      </c>
      <c r="S56" s="97" t="b">
        <v>1</v>
      </c>
      <c r="T56" s="97" t="b">
        <v>0</v>
      </c>
      <c r="U56" s="78">
        <v>25</v>
      </c>
      <c r="V56" s="78">
        <v>853</v>
      </c>
    </row>
    <row r="57" spans="2:22">
      <c r="B57" s="73">
        <f>IF(CreditEvents[[#This Row],[Active]]=TRUE,1,0)</f>
        <v>0</v>
      </c>
      <c r="C57" s="75" t="b">
        <v>0</v>
      </c>
      <c r="D57" s="73" t="s">
        <v>1247</v>
      </c>
      <c r="E57" s="76" t="s">
        <v>1251</v>
      </c>
      <c r="F57" s="97" t="b">
        <v>0</v>
      </c>
      <c r="G57" s="74"/>
      <c r="H57" s="97" t="b">
        <v>0</v>
      </c>
      <c r="I57" s="74" t="s">
        <v>1003</v>
      </c>
      <c r="J57" s="72"/>
      <c r="K57" s="74" t="s">
        <v>49</v>
      </c>
      <c r="L57" s="74" t="s">
        <v>54</v>
      </c>
      <c r="M57" s="83">
        <v>50000</v>
      </c>
      <c r="N57" s="94"/>
      <c r="O57" s="94"/>
      <c r="P57" s="94" t="s">
        <v>602</v>
      </c>
      <c r="Q57" s="83">
        <v>0</v>
      </c>
      <c r="R57" s="97">
        <v>365</v>
      </c>
      <c r="S57" s="97" t="b">
        <v>1</v>
      </c>
      <c r="T57" s="97" t="b">
        <v>0</v>
      </c>
      <c r="U57" s="78">
        <v>25</v>
      </c>
      <c r="V57" s="78">
        <v>854</v>
      </c>
    </row>
    <row r="58" spans="2:22">
      <c r="B58" s="73">
        <f>IF(CreditEvents[[#This Row],[Active]]=TRUE,1,0)</f>
        <v>0</v>
      </c>
      <c r="C58" s="75" t="b">
        <v>0</v>
      </c>
      <c r="D58" s="73" t="s">
        <v>1247</v>
      </c>
      <c r="E58" s="76" t="s">
        <v>1251</v>
      </c>
      <c r="F58" s="97" t="b">
        <v>0</v>
      </c>
      <c r="G58" s="74"/>
      <c r="H58" s="97" t="b">
        <v>0</v>
      </c>
      <c r="I58" s="74" t="s">
        <v>1004</v>
      </c>
      <c r="J58" s="72"/>
      <c r="K58" s="74" t="s">
        <v>49</v>
      </c>
      <c r="L58" s="74" t="s">
        <v>54</v>
      </c>
      <c r="M58" s="83">
        <v>50000</v>
      </c>
      <c r="N58" s="94"/>
      <c r="O58" s="94"/>
      <c r="P58" s="94" t="s">
        <v>602</v>
      </c>
      <c r="Q58" s="83">
        <v>0</v>
      </c>
      <c r="R58" s="97">
        <v>365</v>
      </c>
      <c r="S58" s="97" t="b">
        <v>1</v>
      </c>
      <c r="T58" s="97" t="b">
        <v>0</v>
      </c>
      <c r="U58" s="78">
        <v>25</v>
      </c>
      <c r="V58" s="78">
        <v>855</v>
      </c>
    </row>
    <row r="59" spans="2:22">
      <c r="B59" s="73">
        <f>IF(CreditEvents[[#This Row],[Active]]=TRUE,1,0)</f>
        <v>0</v>
      </c>
      <c r="C59" s="75" t="b">
        <v>0</v>
      </c>
      <c r="D59" s="73" t="s">
        <v>1256</v>
      </c>
      <c r="E59" s="76" t="s">
        <v>1263</v>
      </c>
      <c r="F59" s="97" t="b">
        <v>0</v>
      </c>
      <c r="G59" s="74"/>
      <c r="H59" s="97" t="b">
        <v>0</v>
      </c>
      <c r="I59" s="74" t="s">
        <v>1006</v>
      </c>
      <c r="J59" s="72"/>
      <c r="K59" s="74" t="s">
        <v>49</v>
      </c>
      <c r="L59" s="74" t="s">
        <v>88</v>
      </c>
      <c r="M59" s="83">
        <v>2500</v>
      </c>
      <c r="N59" s="94"/>
      <c r="O59" s="94"/>
      <c r="P59" s="94" t="s">
        <v>602</v>
      </c>
      <c r="Q59" s="83">
        <v>0</v>
      </c>
      <c r="R59" s="97">
        <v>365</v>
      </c>
      <c r="S59" s="97" t="b">
        <v>1</v>
      </c>
      <c r="T59" s="97" t="b">
        <v>0</v>
      </c>
      <c r="U59" s="78">
        <v>25</v>
      </c>
      <c r="V59" s="78">
        <v>856</v>
      </c>
    </row>
    <row r="60" spans="2:22">
      <c r="B60" s="73">
        <f>IF(CreditEvents[[#This Row],[Active]]=TRUE,1,0)</f>
        <v>0</v>
      </c>
      <c r="C60" s="75" t="b">
        <v>0</v>
      </c>
      <c r="D60" s="73" t="s">
        <v>1248</v>
      </c>
      <c r="E60" s="76" t="s">
        <v>1257</v>
      </c>
      <c r="F60" s="97" t="b">
        <v>0</v>
      </c>
      <c r="G60" s="74"/>
      <c r="H60" s="97" t="b">
        <v>0</v>
      </c>
      <c r="I60" s="74" t="s">
        <v>1007</v>
      </c>
      <c r="J60" s="72"/>
      <c r="K60" s="74" t="s">
        <v>49</v>
      </c>
      <c r="L60" s="74" t="s">
        <v>79</v>
      </c>
      <c r="M60" s="83">
        <v>80000</v>
      </c>
      <c r="N60" s="94"/>
      <c r="O60" s="94"/>
      <c r="P60" s="94" t="s">
        <v>602</v>
      </c>
      <c r="Q60" s="83">
        <v>0</v>
      </c>
      <c r="R60" s="97">
        <v>365</v>
      </c>
      <c r="S60" s="97" t="b">
        <v>1</v>
      </c>
      <c r="T60" s="97" t="b">
        <v>0</v>
      </c>
      <c r="U60" s="78">
        <v>25</v>
      </c>
      <c r="V60" s="78">
        <v>857</v>
      </c>
    </row>
    <row r="61" spans="2:22">
      <c r="B61" s="73">
        <f>IF(CreditEvents[[#This Row],[Active]]=TRUE,1,0)</f>
        <v>0</v>
      </c>
      <c r="C61" s="75" t="b">
        <v>0</v>
      </c>
      <c r="D61" s="73" t="s">
        <v>1248</v>
      </c>
      <c r="E61" s="76" t="s">
        <v>1257</v>
      </c>
      <c r="F61" s="97" t="b">
        <v>0</v>
      </c>
      <c r="G61" s="74"/>
      <c r="H61" s="97" t="b">
        <v>0</v>
      </c>
      <c r="I61" s="74" t="s">
        <v>1009</v>
      </c>
      <c r="J61" s="72"/>
      <c r="K61" s="74" t="s">
        <v>49</v>
      </c>
      <c r="L61" s="74" t="s">
        <v>79</v>
      </c>
      <c r="M61" s="83">
        <v>225000</v>
      </c>
      <c r="N61" s="94"/>
      <c r="O61" s="94"/>
      <c r="P61" s="94" t="s">
        <v>602</v>
      </c>
      <c r="Q61" s="83">
        <v>0</v>
      </c>
      <c r="R61" s="97">
        <v>365</v>
      </c>
      <c r="S61" s="97" t="b">
        <v>1</v>
      </c>
      <c r="T61" s="97" t="b">
        <v>0</v>
      </c>
      <c r="U61" s="78">
        <v>25</v>
      </c>
      <c r="V61" s="78">
        <v>858</v>
      </c>
    </row>
  </sheetData>
  <dataConsolidate/>
  <mergeCells count="1">
    <mergeCell ref="B2:L2"/>
  </mergeCells>
  <conditionalFormatting sqref="B5:V61">
    <cfRule type="expression" dxfId="21" priority="116">
      <formula>$C5 = FALSE</formula>
    </cfRule>
  </conditionalFormatting>
  <conditionalFormatting sqref="C5:C61 S5:T61 H5:H61 F5:F61">
    <cfRule type="containsText" dxfId="20" priority="117" operator="containsText" text="TRUE">
      <formula>NOT(ISERROR(SEARCH("TRUE",C5)))</formula>
    </cfRule>
    <cfRule type="containsText" dxfId="19" priority="118" operator="containsText" text="FALSE">
      <formula>NOT(ISERROR(SEARCH("FALSE",C5)))</formula>
    </cfRule>
  </conditionalFormatting>
  <dataValidations count="8">
    <dataValidation type="list" allowBlank="1" showInputMessage="1" showErrorMessage="1" sqref="S5:T61">
      <formula1>"TRUE,FALSE"</formula1>
    </dataValidation>
    <dataValidation type="list" allowBlank="1" showInputMessage="1" showErrorMessage="1" sqref="H5:H61 F5:F61 C5:C61">
      <formula1>"TRUE, FALSE"</formula1>
    </dataValidation>
    <dataValidation type="list" allowBlank="1" showInputMessage="1" showErrorMessage="1" sqref="P5:P61">
      <formula1>"CAP, TRADE"</formula1>
    </dataValidation>
    <dataValidation type="list" allowBlank="1" showInputMessage="1" showErrorMessage="1" sqref="L5:L61">
      <formula1>INDIRECT("Provinces[Code]")</formula1>
    </dataValidation>
    <dataValidation type="list" allowBlank="1" showInputMessage="1" showErrorMessage="1" sqref="J5:J61">
      <formula1>INDIRECT("FacilityType[Code]")</formula1>
    </dataValidation>
    <dataValidation type="list" allowBlank="1" showInputMessage="1" showErrorMessage="1" sqref="K5:K61">
      <formula1>INDIRECT("Countries[Code]")</formula1>
    </dataValidation>
    <dataValidation type="list" allowBlank="1" showInputMessage="1" showErrorMessage="1" sqref="I5:I61">
      <formula1>INDIRECT("Facilities[Code]")</formula1>
    </dataValidation>
    <dataValidation type="list" allowBlank="1" showInputMessage="1" showErrorMessage="1" sqref="G5:G61">
      <formula1>INDIRECT("Jurisdictions[Code]")</formula1>
    </dataValidation>
  </dataValidations>
  <pageMargins left="0.7" right="0.7" top="0.75" bottom="0.75" header="0.3" footer="0.3"/>
  <pageSetup scale="3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6"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B5:B61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39997558519241921"/>
    <pageSetUpPr fitToPage="1"/>
  </sheetPr>
  <dimension ref="A1:R12"/>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F39" sqref="F39"/>
    </sheetView>
  </sheetViews>
  <sheetFormatPr defaultRowHeight="15"/>
  <cols>
    <col min="1" max="1" width="21.28515625" style="27" customWidth="1"/>
    <col min="2" max="2" width="6.42578125" customWidth="1"/>
    <col min="3" max="3" width="11.140625" style="15" customWidth="1"/>
    <col min="4" max="4" width="10.140625" customWidth="1"/>
    <col min="5" max="5" width="11.85546875" customWidth="1"/>
    <col min="6" max="6" width="16.7109375" customWidth="1"/>
    <col min="7" max="7" width="11" customWidth="1"/>
    <col min="8" max="8" width="10.7109375" customWidth="1"/>
    <col min="9" max="9" width="14.28515625" customWidth="1"/>
    <col min="10" max="10" width="13.42578125" customWidth="1"/>
    <col min="11" max="11" width="15.85546875" customWidth="1"/>
    <col min="12" max="12" width="7.42578125"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7"/>
      <c r="B2" s="101" t="s">
        <v>187</v>
      </c>
      <c r="C2" s="101"/>
      <c r="D2" s="101"/>
      <c r="E2" s="101"/>
      <c r="F2" s="101"/>
      <c r="G2" s="101"/>
      <c r="H2" s="101"/>
      <c r="I2" s="101"/>
      <c r="J2" s="101"/>
      <c r="K2" s="30"/>
    </row>
    <row r="3" spans="1:18" s="4" customFormat="1" ht="9" customHeight="1" thickTop="1">
      <c r="A3" s="27"/>
      <c r="C3" s="24"/>
    </row>
    <row r="4" spans="1:18" s="13" customFormat="1" ht="15" customHeight="1">
      <c r="A4" s="27"/>
      <c r="B4" s="20" t="s">
        <v>11</v>
      </c>
      <c r="C4" s="19" t="s">
        <v>1</v>
      </c>
      <c r="D4" s="19" t="s">
        <v>0</v>
      </c>
      <c r="E4" s="19" t="s">
        <v>176</v>
      </c>
      <c r="F4" s="19" t="s">
        <v>180</v>
      </c>
      <c r="G4" s="19" t="s">
        <v>96</v>
      </c>
      <c r="H4" s="19" t="s">
        <v>7</v>
      </c>
      <c r="I4" s="19" t="s">
        <v>19</v>
      </c>
      <c r="J4" s="19" t="s">
        <v>45</v>
      </c>
      <c r="K4" s="19" t="s">
        <v>2</v>
      </c>
      <c r="L4" s="19" t="s">
        <v>20</v>
      </c>
    </row>
    <row r="5" spans="1:18">
      <c r="A5" s="28"/>
      <c r="B5" s="32">
        <f>IF(FacilityDep[[#This Row],[Active]]=TRUE,1,0)</f>
        <v>1</v>
      </c>
      <c r="C5" s="33" t="b">
        <v>1</v>
      </c>
      <c r="D5" s="31" t="s">
        <v>1011</v>
      </c>
      <c r="E5" s="50" t="s">
        <v>633</v>
      </c>
      <c r="F5" s="50" t="s">
        <v>637</v>
      </c>
      <c r="G5" s="50" t="s">
        <v>1012</v>
      </c>
      <c r="H5" s="31">
        <v>0.4</v>
      </c>
      <c r="I5" s="65"/>
      <c r="J5" s="65"/>
      <c r="K5" s="63">
        <v>25</v>
      </c>
      <c r="L5" s="64">
        <v>463</v>
      </c>
    </row>
    <row r="6" spans="1:18">
      <c r="B6" s="73">
        <f>IF(FacilityDep[[#This Row],[Active]]=TRUE,1,0)</f>
        <v>1</v>
      </c>
      <c r="C6" s="75" t="b">
        <v>1</v>
      </c>
      <c r="D6" s="73" t="s">
        <v>1011</v>
      </c>
      <c r="E6" s="76" t="s">
        <v>633</v>
      </c>
      <c r="F6" s="76" t="s">
        <v>780</v>
      </c>
      <c r="G6" s="76" t="s">
        <v>1012</v>
      </c>
      <c r="H6" s="73">
        <v>0.4</v>
      </c>
      <c r="I6" s="77"/>
      <c r="J6" s="77"/>
      <c r="K6" s="78">
        <v>25</v>
      </c>
      <c r="L6" s="78">
        <v>464</v>
      </c>
    </row>
    <row r="7" spans="1:18">
      <c r="B7" s="73">
        <f>IF(FacilityDep[[#This Row],[Active]]=TRUE,1,0)</f>
        <v>1</v>
      </c>
      <c r="C7" s="75" t="b">
        <v>1</v>
      </c>
      <c r="D7" s="73" t="s">
        <v>1011</v>
      </c>
      <c r="E7" s="76" t="s">
        <v>633</v>
      </c>
      <c r="F7" s="76" t="s">
        <v>786</v>
      </c>
      <c r="G7" s="76" t="s">
        <v>1012</v>
      </c>
      <c r="H7" s="73">
        <v>0.6</v>
      </c>
      <c r="I7" s="77"/>
      <c r="J7" s="77"/>
      <c r="K7" s="78">
        <v>25</v>
      </c>
      <c r="L7" s="78">
        <v>465</v>
      </c>
    </row>
    <row r="8" spans="1:18">
      <c r="B8" s="73">
        <f>IF(FacilityDep[[#This Row],[Active]]=TRUE,1,0)</f>
        <v>1</v>
      </c>
      <c r="C8" s="75" t="b">
        <v>1</v>
      </c>
      <c r="D8" s="73" t="s">
        <v>1011</v>
      </c>
      <c r="E8" s="76" t="s">
        <v>633</v>
      </c>
      <c r="F8" s="76" t="s">
        <v>783</v>
      </c>
      <c r="G8" s="76" t="s">
        <v>1012</v>
      </c>
      <c r="H8" s="73">
        <v>1</v>
      </c>
      <c r="I8" s="77"/>
      <c r="J8" s="77"/>
      <c r="K8" s="78">
        <v>25</v>
      </c>
      <c r="L8" s="78">
        <v>466</v>
      </c>
    </row>
    <row r="9" spans="1:18">
      <c r="B9" s="73">
        <f>IF(FacilityDep[[#This Row],[Active]]=TRUE,1,0)</f>
        <v>1</v>
      </c>
      <c r="C9" s="75" t="b">
        <v>1</v>
      </c>
      <c r="D9" s="73" t="s">
        <v>1011</v>
      </c>
      <c r="E9" s="76" t="s">
        <v>633</v>
      </c>
      <c r="F9" s="76" t="s">
        <v>789</v>
      </c>
      <c r="G9" s="76" t="s">
        <v>1012</v>
      </c>
      <c r="H9" s="73">
        <v>0.2</v>
      </c>
      <c r="I9" s="77"/>
      <c r="J9" s="77"/>
      <c r="K9" s="78">
        <v>25</v>
      </c>
      <c r="L9" s="78">
        <v>467</v>
      </c>
    </row>
    <row r="10" spans="1:18">
      <c r="B10" s="73">
        <f>IF(FacilityDep[[#This Row],[Active]]=TRUE,1,0)</f>
        <v>1</v>
      </c>
      <c r="C10" s="75" t="b">
        <v>1</v>
      </c>
      <c r="D10" s="73" t="s">
        <v>1011</v>
      </c>
      <c r="E10" s="76" t="s">
        <v>633</v>
      </c>
      <c r="F10" s="76" t="s">
        <v>792</v>
      </c>
      <c r="G10" s="76" t="s">
        <v>1012</v>
      </c>
      <c r="H10" s="73">
        <v>0.7</v>
      </c>
      <c r="I10" s="77"/>
      <c r="J10" s="77"/>
      <c r="K10" s="78">
        <v>25</v>
      </c>
      <c r="L10" s="78">
        <v>468</v>
      </c>
    </row>
    <row r="11" spans="1:18">
      <c r="B11" s="73">
        <f>IF(FacilityDep[[#This Row],[Active]]=TRUE,1,0)</f>
        <v>1</v>
      </c>
      <c r="C11" s="75" t="b">
        <v>1</v>
      </c>
      <c r="D11" s="73" t="s">
        <v>1011</v>
      </c>
      <c r="E11" s="76" t="s">
        <v>633</v>
      </c>
      <c r="F11" s="76" t="s">
        <v>795</v>
      </c>
      <c r="G11" s="76" t="s">
        <v>1012</v>
      </c>
      <c r="H11" s="73">
        <v>0.6</v>
      </c>
      <c r="I11" s="77"/>
      <c r="J11" s="77"/>
      <c r="K11" s="78">
        <v>25</v>
      </c>
      <c r="L11" s="78">
        <v>469</v>
      </c>
    </row>
    <row r="12" spans="1:18">
      <c r="B12" s="73">
        <f>IF(FacilityDep[[#This Row],[Active]]=TRUE,1,0)</f>
        <v>1</v>
      </c>
      <c r="C12" s="75" t="b">
        <v>1</v>
      </c>
      <c r="D12" s="73" t="s">
        <v>1011</v>
      </c>
      <c r="E12" s="76" t="s">
        <v>633</v>
      </c>
      <c r="F12" s="76" t="s">
        <v>798</v>
      </c>
      <c r="G12" s="76" t="s">
        <v>1012</v>
      </c>
      <c r="H12" s="73">
        <v>0.4</v>
      </c>
      <c r="I12" s="77"/>
      <c r="J12" s="77"/>
      <c r="K12" s="78">
        <v>25</v>
      </c>
      <c r="L12" s="78">
        <v>470</v>
      </c>
    </row>
  </sheetData>
  <dataConsolidate/>
  <mergeCells count="1">
    <mergeCell ref="B2:J2"/>
  </mergeCells>
  <conditionalFormatting sqref="B5:L12">
    <cfRule type="expression" dxfId="18" priority="1">
      <formula>$C5 = FALSE</formula>
    </cfRule>
  </conditionalFormatting>
  <conditionalFormatting sqref="C5:C12">
    <cfRule type="containsText" dxfId="17" priority="2" operator="containsText" text="TRUE">
      <formula>NOT(ISERROR(SEARCH("TRUE",C5)))</formula>
    </cfRule>
    <cfRule type="containsText" dxfId="16" priority="3" operator="containsText" text="FALSE">
      <formula>NOT(ISERROR(SEARCH("FALSE",C5)))</formula>
    </cfRule>
  </conditionalFormatting>
  <dataValidations count="2">
    <dataValidation type="list" allowBlank="1" showInputMessage="1" showErrorMessage="1" sqref="C5:C12">
      <formula1>"TRUE, FALSE"</formula1>
    </dataValidation>
    <dataValidation type="list" allowBlank="1" showInputMessage="1" showErrorMessage="1" sqref="E5:F12">
      <formula1>INDIRECT("Facilities[Code]")</formula1>
    </dataValidation>
  </dataValidations>
  <pageMargins left="0.7" right="0.7" top="0.75" bottom="0.75" header="0.3" footer="0.3"/>
  <pageSetup scale="7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8"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P8"/>
  <sheetViews>
    <sheetView showGridLines="0" topLeftCell="A2" zoomScaleNormal="100" workbookViewId="0">
      <pane xSplit="1" ySplit="3" topLeftCell="B5" activePane="bottomRight" state="frozen"/>
      <selection activeCell="N2" sqref="N1:N1048576"/>
      <selection pane="topRight" activeCell="N2" sqref="N1:N1048576"/>
      <selection pane="bottomLeft" activeCell="N2" sqref="N1:N1048576"/>
      <selection pane="bottomRight" activeCell="F5" sqref="F5"/>
    </sheetView>
  </sheetViews>
  <sheetFormatPr defaultRowHeight="15"/>
  <cols>
    <col min="1" max="1" width="21.28515625" style="27" customWidth="1"/>
    <col min="2" max="2" width="6.42578125" bestFit="1" customWidth="1"/>
    <col min="3" max="3" width="11.140625" style="15" bestFit="1" customWidth="1"/>
    <col min="4" max="4" width="15.85546875" bestFit="1" customWidth="1"/>
    <col min="5" max="5" width="37.7109375" bestFit="1" customWidth="1"/>
    <col min="6" max="6" width="24.7109375" bestFit="1" customWidth="1"/>
    <col min="7" max="7" width="12" bestFit="1" customWidth="1"/>
    <col min="8" max="8" width="28" bestFit="1" customWidth="1"/>
    <col min="9" max="9" width="15.85546875" hidden="1" customWidth="1"/>
    <col min="10" max="10" width="7.42578125" hidden="1" customWidth="1"/>
  </cols>
  <sheetData>
    <row r="1" spans="1:16" ht="74.25" hidden="1" customHeight="1">
      <c r="A1" s="16"/>
      <c r="P1">
        <v>52</v>
      </c>
    </row>
    <row r="2" spans="1:16" s="5" customFormat="1" ht="29.25" customHeight="1" thickBot="1">
      <c r="A2" s="27"/>
      <c r="B2" s="101" t="s">
        <v>35</v>
      </c>
      <c r="C2" s="101"/>
      <c r="D2" s="101"/>
      <c r="E2" s="101"/>
      <c r="F2" s="101"/>
      <c r="G2" s="101"/>
    </row>
    <row r="3" spans="1:16" s="4" customFormat="1" ht="9" customHeight="1" thickTop="1">
      <c r="A3" s="27"/>
      <c r="C3" s="24"/>
    </row>
    <row r="4" spans="1:16" s="13" customFormat="1">
      <c r="A4" s="27"/>
      <c r="B4" s="25" t="s">
        <v>11</v>
      </c>
      <c r="C4" s="17" t="s">
        <v>1</v>
      </c>
      <c r="D4" s="17" t="s">
        <v>0</v>
      </c>
      <c r="E4" s="17" t="s">
        <v>3</v>
      </c>
      <c r="F4" s="17" t="s">
        <v>29</v>
      </c>
      <c r="G4" s="17" t="s">
        <v>7</v>
      </c>
      <c r="H4" s="17" t="s">
        <v>4</v>
      </c>
      <c r="I4" s="19" t="s">
        <v>2</v>
      </c>
      <c r="J4" s="19" t="s">
        <v>20</v>
      </c>
    </row>
    <row r="5" spans="1:16">
      <c r="A5" s="28"/>
      <c r="B5" s="32"/>
      <c r="C5" s="33"/>
      <c r="D5" s="50"/>
      <c r="E5" s="50"/>
      <c r="F5" s="51"/>
      <c r="G5" s="51"/>
      <c r="H5" s="51"/>
      <c r="I5" s="23"/>
      <c r="J5" s="31"/>
    </row>
    <row r="8" spans="1:16" ht="14.25" customHeight="1"/>
  </sheetData>
  <dataConsolidate/>
  <mergeCells count="1">
    <mergeCell ref="B2:G2"/>
  </mergeCells>
  <conditionalFormatting sqref="C5">
    <cfRule type="containsText" dxfId="15" priority="2" operator="containsText" text="TRUE">
      <formula>NOT(ISERROR(SEARCH("TRUE",C5)))</formula>
    </cfRule>
    <cfRule type="containsText" dxfId="14" priority="3" operator="containsText" text="FALSE">
      <formula>NOT(ISERROR(SEARCH("FALSE",C5)))</formula>
    </cfRule>
  </conditionalFormatting>
  <conditionalFormatting sqref="B5:J5">
    <cfRule type="expression" dxfId="13" priority="1">
      <formula>$C5 = FALSE</formula>
    </cfRule>
  </conditionalFormatting>
  <dataValidations count="1">
    <dataValidation type="list" allowBlank="1" showInputMessage="1" showErrorMessage="1" sqref="C5">
      <formula1>"TRUE, FALSE"</formula1>
    </dataValidation>
  </dataValidations>
  <pageMargins left="0.7" right="0.7" top="0.75" bottom="0.75" header="0.3" footer="0.3"/>
  <pageSetup scale="6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8589" id="{088C15BF-1DC2-4BB3-98AF-CBDFF42393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8"/>
  <sheetViews>
    <sheetView showGridLines="0" topLeftCell="A2" zoomScaleNormal="100" workbookViewId="0">
      <pane xSplit="1" ySplit="3" topLeftCell="B5" activePane="bottomRight" state="frozen"/>
      <selection activeCell="F9" sqref="F9"/>
      <selection pane="topRight" activeCell="F9" sqref="F9"/>
      <selection pane="bottomLeft" activeCell="F9" sqref="F9"/>
      <selection pane="bottomRight" activeCell="F9" sqref="F9"/>
    </sheetView>
  </sheetViews>
  <sheetFormatPr defaultColWidth="9.140625" defaultRowHeight="15"/>
  <cols>
    <col min="1" max="1" width="21.28515625" style="27" customWidth="1"/>
    <col min="2" max="2" width="6.42578125" style="35" bestFit="1" customWidth="1"/>
    <col min="3" max="3" width="11.140625" style="36" bestFit="1" customWidth="1"/>
    <col min="4" max="4" width="12.42578125" style="35" bestFit="1" customWidth="1"/>
    <col min="5" max="5" width="27.42578125" style="35" customWidth="1"/>
    <col min="6" max="6" width="18.85546875" style="35" bestFit="1" customWidth="1"/>
    <col min="7" max="7" width="26.85546875" style="35" bestFit="1" customWidth="1"/>
    <col min="8" max="8" width="9.5703125" style="35" bestFit="1" customWidth="1"/>
    <col min="9" max="9" width="15.28515625" style="35" bestFit="1" customWidth="1"/>
    <col min="10" max="11" width="13.42578125" style="35" bestFit="1" customWidth="1"/>
    <col min="12" max="12" width="14.5703125" style="35" bestFit="1" customWidth="1"/>
    <col min="13" max="13" width="15.140625" style="35" bestFit="1" customWidth="1"/>
    <col min="14" max="14" width="15.85546875" style="35" hidden="1" customWidth="1"/>
    <col min="15" max="15" width="7.42578125" style="35" hidden="1" customWidth="1"/>
    <col min="16" max="16384" width="9.140625" style="35"/>
  </cols>
  <sheetData>
    <row r="1" spans="1:16" ht="51.6" hidden="1" customHeight="1">
      <c r="A1" s="34"/>
      <c r="P1" s="35">
        <v>52</v>
      </c>
    </row>
    <row r="2" spans="1:16" s="37" customFormat="1" ht="29.25" customHeight="1" thickBot="1">
      <c r="A2" s="27"/>
      <c r="B2" s="102" t="s">
        <v>16</v>
      </c>
      <c r="C2" s="102"/>
      <c r="D2" s="102"/>
      <c r="E2" s="102"/>
      <c r="F2" s="102"/>
      <c r="G2" s="102"/>
      <c r="H2" s="102"/>
      <c r="I2" s="102"/>
      <c r="J2" s="102"/>
      <c r="K2" s="102"/>
      <c r="L2" s="102"/>
    </row>
    <row r="3" spans="1:16" s="38" customFormat="1" ht="9" customHeight="1" thickTop="1">
      <c r="A3" s="27"/>
      <c r="C3" s="39"/>
    </row>
    <row r="4" spans="1:16" s="42" customFormat="1" ht="15" customHeight="1">
      <c r="A4" s="27"/>
      <c r="B4" s="40" t="s">
        <v>11</v>
      </c>
      <c r="C4" s="41" t="s">
        <v>1</v>
      </c>
      <c r="D4" s="41" t="s">
        <v>0</v>
      </c>
      <c r="E4" s="41" t="s">
        <v>3</v>
      </c>
      <c r="F4" s="41" t="s">
        <v>25</v>
      </c>
      <c r="G4" s="41" t="s">
        <v>26</v>
      </c>
      <c r="H4" s="41" t="s">
        <v>27</v>
      </c>
      <c r="I4" s="41" t="s">
        <v>28</v>
      </c>
      <c r="J4" s="41" t="s">
        <v>29</v>
      </c>
      <c r="K4" s="41" t="s">
        <v>30</v>
      </c>
      <c r="L4" s="41" t="s">
        <v>40</v>
      </c>
      <c r="M4" s="41" t="s">
        <v>4</v>
      </c>
      <c r="N4" s="41" t="s">
        <v>2</v>
      </c>
      <c r="O4" s="41" t="s">
        <v>20</v>
      </c>
    </row>
    <row r="5" spans="1:16">
      <c r="A5" s="28"/>
      <c r="B5" s="43">
        <f>IF(BSources[[#This Row],[Active]]=TRUE,1,0)</f>
        <v>1</v>
      </c>
      <c r="C5" s="29" t="b">
        <v>1</v>
      </c>
      <c r="D5" s="66" t="s">
        <v>651</v>
      </c>
      <c r="E5" s="43" t="s">
        <v>652</v>
      </c>
      <c r="F5" s="43">
        <v>1.32</v>
      </c>
      <c r="G5" s="44" t="b">
        <v>1</v>
      </c>
      <c r="H5" s="52">
        <v>0.01</v>
      </c>
      <c r="I5" s="45">
        <v>0.93430000000000002</v>
      </c>
      <c r="J5" s="45" t="s">
        <v>653</v>
      </c>
      <c r="K5" s="45"/>
      <c r="L5" s="29" t="b">
        <v>0</v>
      </c>
      <c r="M5" s="43"/>
      <c r="N5" s="46">
        <v>25</v>
      </c>
      <c r="O5" s="47">
        <v>416</v>
      </c>
    </row>
    <row r="8" spans="1:16" ht="14.25" customHeight="1"/>
  </sheetData>
  <dataConsolidate/>
  <mergeCells count="1">
    <mergeCell ref="B2:L2"/>
  </mergeCells>
  <conditionalFormatting sqref="B5:O5">
    <cfRule type="expression" dxfId="12" priority="4">
      <formula>$C5 = FALSE</formula>
    </cfRule>
  </conditionalFormatting>
  <conditionalFormatting sqref="C5 G5">
    <cfRule type="containsText" dxfId="11" priority="8" operator="containsText" text="TRUE">
      <formula>NOT(ISERROR(SEARCH("TRUE",C5)))</formula>
    </cfRule>
    <cfRule type="containsText" dxfId="10" priority="9" operator="containsText" text="FALSE">
      <formula>NOT(ISERROR(SEARCH("FALSE",C5)))</formula>
    </cfRule>
  </conditionalFormatting>
  <conditionalFormatting sqref="F5">
    <cfRule type="expression" dxfId="9" priority="3">
      <formula xml:space="preserve"> G5=TRUE</formula>
    </cfRule>
  </conditionalFormatting>
  <conditionalFormatting sqref="L5">
    <cfRule type="containsText" dxfId="8" priority="1" operator="containsText" text="TRUE">
      <formula>NOT(ISERROR(SEARCH("TRUE",L5)))</formula>
    </cfRule>
    <cfRule type="containsText" dxfId="7" priority="2" operator="containsText" text="FALSE">
      <formula>NOT(ISERROR(SEARCH("FALSE",L5)))</formula>
    </cfRule>
  </conditionalFormatting>
  <dataValidations count="1">
    <dataValidation type="list" allowBlank="1" showInputMessage="1" showErrorMessage="1" sqref="C5 G5 L5">
      <formula1>"TRUE, FALSE"</formula1>
    </dataValidation>
  </dataValidations>
  <pageMargins left="0.7" right="0.7" top="0.75" bottom="0.75" header="0.3" footer="0.3"/>
  <pageSetup scale="49"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7763" id="{4E01AAA6-74A0-43AC-94BD-24D7E25236C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S43"/>
  <sheetViews>
    <sheetView showGridLines="0" zoomScaleNormal="100" workbookViewId="0">
      <pane xSplit="1" ySplit="4" topLeftCell="B17" activePane="bottomRight" state="frozen"/>
      <selection activeCell="F9" sqref="F9"/>
      <selection pane="topRight" activeCell="F9" sqref="F9"/>
      <selection pane="bottomLeft" activeCell="F9" sqref="F9"/>
      <selection pane="bottomRight" activeCell="F9" sqref="F9"/>
    </sheetView>
  </sheetViews>
  <sheetFormatPr defaultRowHeight="15"/>
  <cols>
    <col min="1" max="1" width="21.28515625" style="27" customWidth="1"/>
    <col min="2" max="2" width="6.42578125" bestFit="1" customWidth="1"/>
    <col min="3" max="3" width="11.140625" style="15" bestFit="1" customWidth="1"/>
    <col min="4" max="4" width="19.28515625" bestFit="1" customWidth="1"/>
    <col min="5" max="5" width="12.85546875" customWidth="1"/>
    <col min="6" max="6" width="9.140625" bestFit="1" customWidth="1"/>
    <col min="7" max="7" width="9.42578125" bestFit="1" customWidth="1"/>
    <col min="8" max="8" width="10.85546875" bestFit="1" customWidth="1"/>
    <col min="9" max="9" width="15.85546875" hidden="1" customWidth="1"/>
    <col min="10" max="10" width="7.42578125" hidden="1" customWidth="1"/>
    <col min="11" max="11" width="16.42578125" bestFit="1" customWidth="1"/>
    <col min="12" max="12" width="18" bestFit="1" customWidth="1"/>
    <col min="13" max="15" width="18" customWidth="1"/>
    <col min="16" max="16" width="14.5703125" bestFit="1" customWidth="1"/>
    <col min="17" max="17" width="15.140625" bestFit="1" customWidth="1"/>
    <col min="18" max="18" width="12.85546875" hidden="1" customWidth="1"/>
    <col min="19" max="19" width="23.28515625" hidden="1" customWidth="1"/>
  </cols>
  <sheetData>
    <row r="1" spans="1:15" ht="74.25" hidden="1" customHeight="1">
      <c r="A1" s="16"/>
      <c r="O1" t="s">
        <v>21</v>
      </c>
    </row>
    <row r="2" spans="1:15" s="5" customFormat="1" ht="29.25" customHeight="1" thickBot="1">
      <c r="A2" s="27"/>
      <c r="B2" s="101" t="s">
        <v>17</v>
      </c>
      <c r="C2" s="101"/>
      <c r="D2" s="101"/>
      <c r="E2" s="101"/>
      <c r="F2" s="101"/>
      <c r="G2" s="101"/>
      <c r="H2" s="101"/>
      <c r="I2" s="101"/>
      <c r="J2" s="101"/>
      <c r="K2" s="101"/>
      <c r="L2" s="101"/>
      <c r="M2" s="30"/>
      <c r="N2" s="30"/>
      <c r="O2" s="30"/>
    </row>
    <row r="3" spans="1:15" s="4" customFormat="1" ht="9" customHeight="1" thickTop="1">
      <c r="A3" s="27"/>
      <c r="C3" s="24"/>
    </row>
    <row r="4" spans="1:15" s="13" customFormat="1">
      <c r="A4" s="27"/>
      <c r="B4" s="20" t="s">
        <v>11</v>
      </c>
      <c r="C4" s="17" t="s">
        <v>1</v>
      </c>
      <c r="D4" s="19" t="s">
        <v>31</v>
      </c>
      <c r="E4" s="19" t="s">
        <v>0</v>
      </c>
      <c r="F4" s="19" t="s">
        <v>32</v>
      </c>
      <c r="G4" s="19" t="s">
        <v>33</v>
      </c>
      <c r="H4" s="19" t="s">
        <v>34</v>
      </c>
      <c r="I4" s="19" t="s">
        <v>2</v>
      </c>
      <c r="J4" s="19" t="s">
        <v>20</v>
      </c>
    </row>
    <row r="5" spans="1:15">
      <c r="B5" s="56">
        <f>IF(BSDetails[[#This Row],[Active]]=TRUE,1,0)</f>
        <v>1</v>
      </c>
      <c r="C5" s="59" t="b">
        <v>1</v>
      </c>
      <c r="D5" s="59" t="s">
        <v>651</v>
      </c>
      <c r="E5" s="60" t="s">
        <v>654</v>
      </c>
      <c r="F5" s="61">
        <v>1.1443000000000001</v>
      </c>
      <c r="G5" s="61">
        <v>1.1541999999999999</v>
      </c>
      <c r="H5" s="56">
        <v>12</v>
      </c>
      <c r="I5" s="62">
        <v>25</v>
      </c>
      <c r="J5" s="56">
        <v>1988</v>
      </c>
    </row>
    <row r="6" spans="1:15">
      <c r="B6" s="73">
        <f>IF(BSDetails[[#This Row],[Active]]=TRUE,1,0)</f>
        <v>1</v>
      </c>
      <c r="C6" s="87" t="b">
        <v>1</v>
      </c>
      <c r="D6" s="87" t="s">
        <v>651</v>
      </c>
      <c r="E6" s="74" t="s">
        <v>655</v>
      </c>
      <c r="F6" s="88">
        <v>1.1543000000000001</v>
      </c>
      <c r="G6" s="88">
        <v>1.1639600000000001</v>
      </c>
      <c r="H6" s="73">
        <v>19</v>
      </c>
      <c r="I6" s="89">
        <v>25</v>
      </c>
      <c r="J6" s="73">
        <v>1989</v>
      </c>
    </row>
    <row r="7" spans="1:15">
      <c r="B7" s="73">
        <f>IF(BSDetails[[#This Row],[Active]]=TRUE,1,0)</f>
        <v>1</v>
      </c>
      <c r="C7" s="87" t="b">
        <v>1</v>
      </c>
      <c r="D7" s="87" t="s">
        <v>651</v>
      </c>
      <c r="E7" s="74" t="s">
        <v>656</v>
      </c>
      <c r="F7" s="88">
        <v>1.1644000000000001</v>
      </c>
      <c r="G7" s="88">
        <v>1.1718</v>
      </c>
      <c r="H7" s="73">
        <v>6</v>
      </c>
      <c r="I7" s="89">
        <v>25</v>
      </c>
      <c r="J7" s="73">
        <v>1990</v>
      </c>
    </row>
    <row r="8" spans="1:15">
      <c r="B8" s="73">
        <f>IF(BSDetails[[#This Row],[Active]]=TRUE,1,0)</f>
        <v>1</v>
      </c>
      <c r="C8" s="87" t="b">
        <v>1</v>
      </c>
      <c r="D8" s="87" t="s">
        <v>651</v>
      </c>
      <c r="E8" s="74" t="s">
        <v>657</v>
      </c>
      <c r="F8" s="88">
        <v>1.175</v>
      </c>
      <c r="G8" s="88">
        <v>1.1835</v>
      </c>
      <c r="H8" s="73">
        <v>9</v>
      </c>
      <c r="I8" s="89">
        <v>25</v>
      </c>
      <c r="J8" s="73">
        <v>1991</v>
      </c>
    </row>
    <row r="9" spans="1:15">
      <c r="B9" s="73">
        <f>IF(BSDetails[[#This Row],[Active]]=TRUE,1,0)</f>
        <v>1</v>
      </c>
      <c r="C9" s="87" t="b">
        <v>1</v>
      </c>
      <c r="D9" s="87" t="s">
        <v>651</v>
      </c>
      <c r="E9" s="74" t="s">
        <v>658</v>
      </c>
      <c r="F9" s="88">
        <v>1.1858</v>
      </c>
      <c r="G9" s="88">
        <v>1.1931700000000001</v>
      </c>
      <c r="H9" s="73">
        <v>3</v>
      </c>
      <c r="I9" s="89">
        <v>25</v>
      </c>
      <c r="J9" s="73">
        <v>1992</v>
      </c>
    </row>
    <row r="10" spans="1:15">
      <c r="B10" s="73">
        <f>IF(BSDetails[[#This Row],[Active]]=TRUE,1,0)</f>
        <v>1</v>
      </c>
      <c r="C10" s="87" t="b">
        <v>1</v>
      </c>
      <c r="D10" s="87" t="s">
        <v>651</v>
      </c>
      <c r="E10" s="74" t="s">
        <v>659</v>
      </c>
      <c r="F10" s="88">
        <v>1.1948000000000001</v>
      </c>
      <c r="G10" s="88">
        <v>1.1966699999999999</v>
      </c>
      <c r="H10" s="73">
        <v>3</v>
      </c>
      <c r="I10" s="89">
        <v>25</v>
      </c>
      <c r="J10" s="73">
        <v>1993</v>
      </c>
    </row>
    <row r="11" spans="1:15">
      <c r="B11" s="73">
        <f>IF(BSDetails[[#This Row],[Active]]=TRUE,1,0)</f>
        <v>1</v>
      </c>
      <c r="C11" s="87" t="b">
        <v>1</v>
      </c>
      <c r="D11" s="87" t="s">
        <v>651</v>
      </c>
      <c r="E11" s="74" t="s">
        <v>660</v>
      </c>
      <c r="F11" s="88">
        <v>1.2073499999999999</v>
      </c>
      <c r="G11" s="88">
        <v>1.21112</v>
      </c>
      <c r="H11" s="73">
        <v>5</v>
      </c>
      <c r="I11" s="89">
        <v>25</v>
      </c>
      <c r="J11" s="73">
        <v>1994</v>
      </c>
    </row>
    <row r="12" spans="1:15">
      <c r="B12" s="73">
        <f>IF(BSDetails[[#This Row],[Active]]=TRUE,1,0)</f>
        <v>1</v>
      </c>
      <c r="C12" s="87" t="b">
        <v>1</v>
      </c>
      <c r="D12" s="87" t="s">
        <v>651</v>
      </c>
      <c r="E12" s="74" t="s">
        <v>661</v>
      </c>
      <c r="F12" s="88">
        <v>1.21526</v>
      </c>
      <c r="G12" s="88">
        <v>1.2229000000000001</v>
      </c>
      <c r="H12" s="73">
        <v>7</v>
      </c>
      <c r="I12" s="89">
        <v>25</v>
      </c>
      <c r="J12" s="73">
        <v>1995</v>
      </c>
    </row>
    <row r="13" spans="1:15">
      <c r="B13" s="73">
        <f>IF(BSDetails[[#This Row],[Active]]=TRUE,1,0)</f>
        <v>1</v>
      </c>
      <c r="C13" s="87" t="b">
        <v>1</v>
      </c>
      <c r="D13" s="87" t="s">
        <v>651</v>
      </c>
      <c r="E13" s="74" t="s">
        <v>662</v>
      </c>
      <c r="F13" s="88">
        <v>1.2272000000000001</v>
      </c>
      <c r="G13" s="88">
        <v>1.2337800000000001</v>
      </c>
      <c r="H13" s="73">
        <v>6</v>
      </c>
      <c r="I13" s="89">
        <v>25</v>
      </c>
      <c r="J13" s="73">
        <v>1996</v>
      </c>
    </row>
    <row r="14" spans="1:15">
      <c r="B14" s="73">
        <f>IF(BSDetails[[#This Row],[Active]]=TRUE,1,0)</f>
        <v>1</v>
      </c>
      <c r="C14" s="87" t="b">
        <v>1</v>
      </c>
      <c r="D14" s="87" t="s">
        <v>651</v>
      </c>
      <c r="E14" s="74" t="s">
        <v>663</v>
      </c>
      <c r="F14" s="88">
        <v>1.2353000000000001</v>
      </c>
      <c r="G14" s="88">
        <v>1.2436499999999999</v>
      </c>
      <c r="H14" s="73">
        <v>8</v>
      </c>
      <c r="I14" s="89">
        <v>25</v>
      </c>
      <c r="J14" s="73">
        <v>1997</v>
      </c>
    </row>
    <row r="15" spans="1:15">
      <c r="B15" s="73">
        <f>IF(BSDetails[[#This Row],[Active]]=TRUE,1,0)</f>
        <v>1</v>
      </c>
      <c r="C15" s="87" t="b">
        <v>1</v>
      </c>
      <c r="D15" s="87" t="s">
        <v>651</v>
      </c>
      <c r="E15" s="74" t="s">
        <v>664</v>
      </c>
      <c r="F15" s="88">
        <v>1.2444</v>
      </c>
      <c r="G15" s="88">
        <v>1.2511099999999999</v>
      </c>
      <c r="H15" s="73">
        <v>6</v>
      </c>
      <c r="I15" s="89">
        <v>25</v>
      </c>
      <c r="J15" s="73">
        <v>1998</v>
      </c>
    </row>
    <row r="16" spans="1:15">
      <c r="B16" s="73">
        <f>IF(BSDetails[[#This Row],[Active]]=TRUE,1,0)</f>
        <v>1</v>
      </c>
      <c r="C16" s="87" t="b">
        <v>1</v>
      </c>
      <c r="D16" s="87" t="s">
        <v>651</v>
      </c>
      <c r="E16" s="74" t="s">
        <v>665</v>
      </c>
      <c r="F16" s="88">
        <v>1.2544599999999999</v>
      </c>
      <c r="G16" s="88">
        <v>1.2633799999999999</v>
      </c>
      <c r="H16" s="73">
        <v>10</v>
      </c>
      <c r="I16" s="89">
        <v>25</v>
      </c>
      <c r="J16" s="73">
        <v>1999</v>
      </c>
    </row>
    <row r="17" spans="2:10">
      <c r="B17" s="73">
        <f>IF(BSDetails[[#This Row],[Active]]=TRUE,1,0)</f>
        <v>1</v>
      </c>
      <c r="C17" s="87" t="b">
        <v>1</v>
      </c>
      <c r="D17" s="87" t="s">
        <v>651</v>
      </c>
      <c r="E17" s="74" t="s">
        <v>666</v>
      </c>
      <c r="F17" s="88">
        <v>1.2698700000000001</v>
      </c>
      <c r="G17" s="88">
        <v>1.2703</v>
      </c>
      <c r="H17" s="73">
        <v>2</v>
      </c>
      <c r="I17" s="89">
        <v>25</v>
      </c>
      <c r="J17" s="73">
        <v>2000</v>
      </c>
    </row>
    <row r="18" spans="2:10">
      <c r="B18" s="73">
        <f>IF(BSDetails[[#This Row],[Active]]=TRUE,1,0)</f>
        <v>1</v>
      </c>
      <c r="C18" s="87" t="b">
        <v>1</v>
      </c>
      <c r="D18" s="87" t="s">
        <v>651</v>
      </c>
      <c r="E18" s="74" t="s">
        <v>667</v>
      </c>
      <c r="F18" s="88">
        <v>1.2756099999999999</v>
      </c>
      <c r="G18" s="88">
        <v>1.27624</v>
      </c>
      <c r="H18" s="73">
        <v>2</v>
      </c>
      <c r="I18" s="89">
        <v>25</v>
      </c>
      <c r="J18" s="73">
        <v>2001</v>
      </c>
    </row>
    <row r="19" spans="2:10">
      <c r="B19" s="73">
        <f>IF(BSDetails[[#This Row],[Active]]=TRUE,1,0)</f>
        <v>1</v>
      </c>
      <c r="C19" s="87" t="b">
        <v>1</v>
      </c>
      <c r="D19" s="87" t="s">
        <v>651</v>
      </c>
      <c r="E19" s="74" t="s">
        <v>668</v>
      </c>
      <c r="F19" s="88">
        <v>1.2881</v>
      </c>
      <c r="G19" s="88">
        <v>1.2881</v>
      </c>
      <c r="H19" s="73">
        <v>1</v>
      </c>
      <c r="I19" s="89">
        <v>25</v>
      </c>
      <c r="J19" s="73">
        <v>2002</v>
      </c>
    </row>
    <row r="20" spans="2:10">
      <c r="B20" s="73">
        <f>IF(BSDetails[[#This Row],[Active]]=TRUE,1,0)</f>
        <v>1</v>
      </c>
      <c r="C20" s="87" t="b">
        <v>1</v>
      </c>
      <c r="D20" s="87" t="s">
        <v>651</v>
      </c>
      <c r="E20" s="74" t="s">
        <v>669</v>
      </c>
      <c r="F20" s="88">
        <v>1.2959000000000001</v>
      </c>
      <c r="G20" s="88">
        <v>1.3029299999999999</v>
      </c>
      <c r="H20" s="73">
        <v>4</v>
      </c>
      <c r="I20" s="89">
        <v>25</v>
      </c>
      <c r="J20" s="73">
        <v>2003</v>
      </c>
    </row>
    <row r="21" spans="2:10">
      <c r="B21" s="73">
        <f>IF(BSDetails[[#This Row],[Active]]=TRUE,1,0)</f>
        <v>1</v>
      </c>
      <c r="C21" s="87" t="b">
        <v>1</v>
      </c>
      <c r="D21" s="87" t="s">
        <v>651</v>
      </c>
      <c r="E21" s="74" t="s">
        <v>670</v>
      </c>
      <c r="F21" s="88">
        <v>1.3061</v>
      </c>
      <c r="G21" s="88">
        <v>1.31385</v>
      </c>
      <c r="H21" s="73">
        <v>3</v>
      </c>
      <c r="I21" s="89">
        <v>25</v>
      </c>
      <c r="J21" s="73">
        <v>2004</v>
      </c>
    </row>
    <row r="22" spans="2:10">
      <c r="B22" s="73">
        <f>IF(BSDetails[[#This Row],[Active]]=TRUE,1,0)</f>
        <v>1</v>
      </c>
      <c r="C22" s="87" t="b">
        <v>1</v>
      </c>
      <c r="D22" s="87" t="s">
        <v>651</v>
      </c>
      <c r="E22" s="74" t="s">
        <v>671</v>
      </c>
      <c r="F22" s="88">
        <v>1.32464</v>
      </c>
      <c r="G22" s="88">
        <v>1.32464</v>
      </c>
      <c r="H22" s="73">
        <v>1</v>
      </c>
      <c r="I22" s="89">
        <v>25</v>
      </c>
      <c r="J22" s="73">
        <v>2005</v>
      </c>
    </row>
    <row r="23" spans="2:10">
      <c r="B23" s="73">
        <f>IF(BSDetails[[#This Row],[Active]]=TRUE,1,0)</f>
        <v>1</v>
      </c>
      <c r="C23" s="87" t="b">
        <v>1</v>
      </c>
      <c r="D23" s="87" t="s">
        <v>651</v>
      </c>
      <c r="E23" s="74" t="s">
        <v>672</v>
      </c>
      <c r="F23" s="88">
        <v>0.93430000000000002</v>
      </c>
      <c r="G23" s="88">
        <v>0.93430000000000002</v>
      </c>
      <c r="H23" s="73">
        <v>1</v>
      </c>
      <c r="I23" s="89">
        <v>25</v>
      </c>
      <c r="J23" s="73">
        <v>2006</v>
      </c>
    </row>
    <row r="24" spans="2:10">
      <c r="B24" s="73">
        <f>IF(BSDetails[[#This Row],[Active]]=TRUE,1,0)</f>
        <v>1</v>
      </c>
      <c r="C24" s="87" t="b">
        <v>1</v>
      </c>
      <c r="D24" s="87" t="s">
        <v>651</v>
      </c>
      <c r="E24" s="74" t="s">
        <v>673</v>
      </c>
      <c r="F24" s="88">
        <v>0.94489999999999996</v>
      </c>
      <c r="G24" s="88">
        <v>0.94889999999999997</v>
      </c>
      <c r="H24" s="73">
        <v>2</v>
      </c>
      <c r="I24" s="89">
        <v>25</v>
      </c>
      <c r="J24" s="73">
        <v>2007</v>
      </c>
    </row>
    <row r="25" spans="2:10">
      <c r="B25" s="73">
        <f>IF(BSDetails[[#This Row],[Active]]=TRUE,1,0)</f>
        <v>1</v>
      </c>
      <c r="C25" s="87" t="b">
        <v>1</v>
      </c>
      <c r="D25" s="87" t="s">
        <v>651</v>
      </c>
      <c r="E25" s="74" t="s">
        <v>674</v>
      </c>
      <c r="F25" s="88">
        <v>0.9546</v>
      </c>
      <c r="G25" s="88">
        <v>0.96079999999999999</v>
      </c>
      <c r="H25" s="73">
        <v>6</v>
      </c>
      <c r="I25" s="89">
        <v>25</v>
      </c>
      <c r="J25" s="73">
        <v>2008</v>
      </c>
    </row>
    <row r="26" spans="2:10">
      <c r="B26" s="73">
        <f>IF(BSDetails[[#This Row],[Active]]=TRUE,1,0)</f>
        <v>1</v>
      </c>
      <c r="C26" s="87" t="b">
        <v>1</v>
      </c>
      <c r="D26" s="87" t="s">
        <v>651</v>
      </c>
      <c r="E26" s="74" t="s">
        <v>675</v>
      </c>
      <c r="F26" s="88">
        <v>0.96550000000000002</v>
      </c>
      <c r="G26" s="88">
        <v>0.97279000000000004</v>
      </c>
      <c r="H26" s="73">
        <v>8</v>
      </c>
      <c r="I26" s="89">
        <v>25</v>
      </c>
      <c r="J26" s="73">
        <v>2009</v>
      </c>
    </row>
    <row r="27" spans="2:10">
      <c r="B27" s="73">
        <f>IF(BSDetails[[#This Row],[Active]]=TRUE,1,0)</f>
        <v>1</v>
      </c>
      <c r="C27" s="87" t="b">
        <v>1</v>
      </c>
      <c r="D27" s="87" t="s">
        <v>651</v>
      </c>
      <c r="E27" s="74" t="s">
        <v>676</v>
      </c>
      <c r="F27" s="88">
        <v>0.97470000000000001</v>
      </c>
      <c r="G27" s="88">
        <v>0.98329999999999995</v>
      </c>
      <c r="H27" s="73">
        <v>19</v>
      </c>
      <c r="I27" s="89">
        <v>25</v>
      </c>
      <c r="J27" s="73">
        <v>2010</v>
      </c>
    </row>
    <row r="28" spans="2:10">
      <c r="B28" s="73">
        <f>IF(BSDetails[[#This Row],[Active]]=TRUE,1,0)</f>
        <v>1</v>
      </c>
      <c r="C28" s="87" t="b">
        <v>1</v>
      </c>
      <c r="D28" s="87" t="s">
        <v>651</v>
      </c>
      <c r="E28" s="74" t="s">
        <v>677</v>
      </c>
      <c r="F28" s="88">
        <v>0.98450000000000004</v>
      </c>
      <c r="G28" s="88">
        <v>0.99399999999999999</v>
      </c>
      <c r="H28" s="73">
        <v>37</v>
      </c>
      <c r="I28" s="89">
        <v>25</v>
      </c>
      <c r="J28" s="73">
        <v>2011</v>
      </c>
    </row>
    <row r="29" spans="2:10">
      <c r="B29" s="73">
        <f>IF(BSDetails[[#This Row],[Active]]=TRUE,1,0)</f>
        <v>1</v>
      </c>
      <c r="C29" s="87" t="b">
        <v>1</v>
      </c>
      <c r="D29" s="87" t="s">
        <v>651</v>
      </c>
      <c r="E29" s="74" t="s">
        <v>678</v>
      </c>
      <c r="F29" s="88">
        <v>0.99431000000000003</v>
      </c>
      <c r="G29" s="88">
        <v>1.0035000000000001</v>
      </c>
      <c r="H29" s="73">
        <v>36</v>
      </c>
      <c r="I29" s="89">
        <v>25</v>
      </c>
      <c r="J29" s="73">
        <v>2012</v>
      </c>
    </row>
    <row r="30" spans="2:10">
      <c r="B30" s="73">
        <f>IF(BSDetails[[#This Row],[Active]]=TRUE,1,0)</f>
        <v>1</v>
      </c>
      <c r="C30" s="87" t="b">
        <v>1</v>
      </c>
      <c r="D30" s="87" t="s">
        <v>651</v>
      </c>
      <c r="E30" s="74" t="s">
        <v>679</v>
      </c>
      <c r="F30" s="88">
        <v>1.0044999999999999</v>
      </c>
      <c r="G30" s="88">
        <v>1.0142</v>
      </c>
      <c r="H30" s="73">
        <v>26</v>
      </c>
      <c r="I30" s="89">
        <v>25</v>
      </c>
      <c r="J30" s="73">
        <v>2013</v>
      </c>
    </row>
    <row r="31" spans="2:10">
      <c r="B31" s="73">
        <f>IF(BSDetails[[#This Row],[Active]]=TRUE,1,0)</f>
        <v>1</v>
      </c>
      <c r="C31" s="87" t="b">
        <v>1</v>
      </c>
      <c r="D31" s="87" t="s">
        <v>651</v>
      </c>
      <c r="E31" s="74" t="s">
        <v>680</v>
      </c>
      <c r="F31" s="88">
        <v>1.0148999999999999</v>
      </c>
      <c r="G31" s="88">
        <v>1.0237000000000001</v>
      </c>
      <c r="H31" s="73">
        <v>41</v>
      </c>
      <c r="I31" s="89">
        <v>25</v>
      </c>
      <c r="J31" s="73">
        <v>2014</v>
      </c>
    </row>
    <row r="32" spans="2:10">
      <c r="B32" s="73">
        <f>IF(BSDetails[[#This Row],[Active]]=TRUE,1,0)</f>
        <v>1</v>
      </c>
      <c r="C32" s="87" t="b">
        <v>1</v>
      </c>
      <c r="D32" s="87" t="s">
        <v>651</v>
      </c>
      <c r="E32" s="74" t="s">
        <v>681</v>
      </c>
      <c r="F32" s="88">
        <v>1.0250999999999999</v>
      </c>
      <c r="G32" s="88">
        <v>1.034</v>
      </c>
      <c r="H32" s="73">
        <v>41</v>
      </c>
      <c r="I32" s="89">
        <v>25</v>
      </c>
      <c r="J32" s="73">
        <v>2015</v>
      </c>
    </row>
    <row r="33" spans="2:10">
      <c r="B33" s="73">
        <f>IF(BSDetails[[#This Row],[Active]]=TRUE,1,0)</f>
        <v>1</v>
      </c>
      <c r="C33" s="87" t="b">
        <v>1</v>
      </c>
      <c r="D33" s="87" t="s">
        <v>651</v>
      </c>
      <c r="E33" s="74" t="s">
        <v>682</v>
      </c>
      <c r="F33" s="88">
        <v>1.0347</v>
      </c>
      <c r="G33" s="88">
        <v>1.04419</v>
      </c>
      <c r="H33" s="73">
        <v>21</v>
      </c>
      <c r="I33" s="89">
        <v>25</v>
      </c>
      <c r="J33" s="73">
        <v>2016</v>
      </c>
    </row>
    <row r="34" spans="2:10">
      <c r="B34" s="73">
        <f>IF(BSDetails[[#This Row],[Active]]=TRUE,1,0)</f>
        <v>1</v>
      </c>
      <c r="C34" s="87" t="b">
        <v>1</v>
      </c>
      <c r="D34" s="87" t="s">
        <v>651</v>
      </c>
      <c r="E34" s="74" t="s">
        <v>683</v>
      </c>
      <c r="F34" s="88">
        <v>1.0447</v>
      </c>
      <c r="G34" s="88">
        <v>1.0542</v>
      </c>
      <c r="H34" s="73">
        <v>18</v>
      </c>
      <c r="I34" s="89">
        <v>25</v>
      </c>
      <c r="J34" s="73">
        <v>2017</v>
      </c>
    </row>
    <row r="35" spans="2:10">
      <c r="B35" s="73">
        <f>IF(BSDetails[[#This Row],[Active]]=TRUE,1,0)</f>
        <v>1</v>
      </c>
      <c r="C35" s="87" t="b">
        <v>1</v>
      </c>
      <c r="D35" s="87" t="s">
        <v>651</v>
      </c>
      <c r="E35" s="74" t="s">
        <v>684</v>
      </c>
      <c r="F35" s="88">
        <v>1.0543</v>
      </c>
      <c r="G35" s="88">
        <v>1.0632999999999999</v>
      </c>
      <c r="H35" s="73">
        <v>22</v>
      </c>
      <c r="I35" s="89">
        <v>25</v>
      </c>
      <c r="J35" s="73">
        <v>2018</v>
      </c>
    </row>
    <row r="36" spans="2:10">
      <c r="B36" s="73">
        <f>IF(BSDetails[[#This Row],[Active]]=TRUE,1,0)</f>
        <v>1</v>
      </c>
      <c r="C36" s="87" t="b">
        <v>1</v>
      </c>
      <c r="D36" s="87" t="s">
        <v>651</v>
      </c>
      <c r="E36" s="74" t="s">
        <v>685</v>
      </c>
      <c r="F36" s="88">
        <v>1.0646</v>
      </c>
      <c r="G36" s="88">
        <v>1.0741000000000001</v>
      </c>
      <c r="H36" s="73">
        <v>20</v>
      </c>
      <c r="I36" s="89">
        <v>25</v>
      </c>
      <c r="J36" s="73">
        <v>2019</v>
      </c>
    </row>
    <row r="37" spans="2:10">
      <c r="B37" s="73">
        <f>IF(BSDetails[[#This Row],[Active]]=TRUE,1,0)</f>
        <v>1</v>
      </c>
      <c r="C37" s="87" t="b">
        <v>1</v>
      </c>
      <c r="D37" s="87" t="s">
        <v>651</v>
      </c>
      <c r="E37" s="74" t="s">
        <v>686</v>
      </c>
      <c r="F37" s="88">
        <v>1.0745</v>
      </c>
      <c r="G37" s="88">
        <v>1.0840000000000001</v>
      </c>
      <c r="H37" s="73">
        <v>9</v>
      </c>
      <c r="I37" s="89">
        <v>25</v>
      </c>
      <c r="J37" s="73">
        <v>2020</v>
      </c>
    </row>
    <row r="38" spans="2:10">
      <c r="B38" s="73">
        <f>IF(BSDetails[[#This Row],[Active]]=TRUE,1,0)</f>
        <v>1</v>
      </c>
      <c r="C38" s="87" t="b">
        <v>1</v>
      </c>
      <c r="D38" s="87" t="s">
        <v>651</v>
      </c>
      <c r="E38" s="74" t="s">
        <v>687</v>
      </c>
      <c r="F38" s="88">
        <v>1.0852999999999999</v>
      </c>
      <c r="G38" s="88">
        <v>1.09426</v>
      </c>
      <c r="H38" s="73">
        <v>15</v>
      </c>
      <c r="I38" s="89">
        <v>25</v>
      </c>
      <c r="J38" s="73">
        <v>2021</v>
      </c>
    </row>
    <row r="39" spans="2:10">
      <c r="B39" s="73">
        <f>IF(BSDetails[[#This Row],[Active]]=TRUE,1,0)</f>
        <v>1</v>
      </c>
      <c r="C39" s="87" t="b">
        <v>1</v>
      </c>
      <c r="D39" s="87" t="s">
        <v>651</v>
      </c>
      <c r="E39" s="74" t="s">
        <v>688</v>
      </c>
      <c r="F39" s="88">
        <v>1.0962099999999999</v>
      </c>
      <c r="G39" s="88">
        <v>1.10358</v>
      </c>
      <c r="H39" s="73">
        <v>14</v>
      </c>
      <c r="I39" s="89">
        <v>25</v>
      </c>
      <c r="J39" s="73">
        <v>2022</v>
      </c>
    </row>
    <row r="40" spans="2:10">
      <c r="B40" s="73">
        <f>IF(BSDetails[[#This Row],[Active]]=TRUE,1,0)</f>
        <v>1</v>
      </c>
      <c r="C40" s="87" t="b">
        <v>1</v>
      </c>
      <c r="D40" s="87" t="s">
        <v>651</v>
      </c>
      <c r="E40" s="74" t="s">
        <v>689</v>
      </c>
      <c r="F40" s="88">
        <v>1.1044499999999999</v>
      </c>
      <c r="G40" s="88">
        <v>1.1142000000000001</v>
      </c>
      <c r="H40" s="73">
        <v>20</v>
      </c>
      <c r="I40" s="89">
        <v>25</v>
      </c>
      <c r="J40" s="73">
        <v>2023</v>
      </c>
    </row>
    <row r="41" spans="2:10">
      <c r="B41" s="73">
        <f>IF(BSDetails[[#This Row],[Active]]=TRUE,1,0)</f>
        <v>1</v>
      </c>
      <c r="C41" s="87" t="b">
        <v>1</v>
      </c>
      <c r="D41" s="87" t="s">
        <v>651</v>
      </c>
      <c r="E41" s="74" t="s">
        <v>690</v>
      </c>
      <c r="F41" s="88">
        <v>1.1145799999999999</v>
      </c>
      <c r="G41" s="88">
        <v>1.1241000000000001</v>
      </c>
      <c r="H41" s="73">
        <v>17</v>
      </c>
      <c r="I41" s="89">
        <v>25</v>
      </c>
      <c r="J41" s="73">
        <v>2024</v>
      </c>
    </row>
    <row r="42" spans="2:10">
      <c r="B42" s="73">
        <f>IF(BSDetails[[#This Row],[Active]]=TRUE,1,0)</f>
        <v>1</v>
      </c>
      <c r="C42" s="87" t="b">
        <v>1</v>
      </c>
      <c r="D42" s="87" t="s">
        <v>651</v>
      </c>
      <c r="E42" s="74" t="s">
        <v>691</v>
      </c>
      <c r="F42" s="88">
        <v>1.1243399999999999</v>
      </c>
      <c r="G42" s="88">
        <v>1.1326499999999999</v>
      </c>
      <c r="H42" s="73">
        <v>15</v>
      </c>
      <c r="I42" s="89">
        <v>25</v>
      </c>
      <c r="J42" s="73">
        <v>2025</v>
      </c>
    </row>
    <row r="43" spans="2:10">
      <c r="B43" s="73">
        <f>IF(BSDetails[[#This Row],[Active]]=TRUE,1,0)</f>
        <v>1</v>
      </c>
      <c r="C43" s="87" t="b">
        <v>1</v>
      </c>
      <c r="D43" s="87" t="s">
        <v>651</v>
      </c>
      <c r="E43" s="74" t="s">
        <v>692</v>
      </c>
      <c r="F43" s="88">
        <v>1.13565</v>
      </c>
      <c r="G43" s="88">
        <v>1.1417999999999999</v>
      </c>
      <c r="H43" s="73">
        <v>8</v>
      </c>
      <c r="I43" s="89">
        <v>25</v>
      </c>
      <c r="J43" s="73">
        <v>2026</v>
      </c>
    </row>
  </sheetData>
  <dataConsolidate/>
  <mergeCells count="1">
    <mergeCell ref="B2:L2"/>
  </mergeCells>
  <conditionalFormatting sqref="C5:C43">
    <cfRule type="containsText" dxfId="6" priority="12" operator="containsText" text="TRUE">
      <formula>NOT(ISERROR(SEARCH("TRUE",C5)))</formula>
    </cfRule>
    <cfRule type="containsText" dxfId="5" priority="13" operator="containsText" text="FALSE">
      <formula>NOT(ISERROR(SEARCH("FALSE",C5)))</formula>
    </cfRule>
  </conditionalFormatting>
  <conditionalFormatting sqref="B5:J43">
    <cfRule type="expression" dxfId="4" priority="1">
      <formula>$C5 = FALSE</formula>
    </cfRule>
  </conditionalFormatting>
  <dataValidations count="2">
    <dataValidation type="list" allowBlank="1" showInputMessage="1" showErrorMessage="1" sqref="C5:C43">
      <formula1>"TRUE, FALSE"</formula1>
    </dataValidation>
    <dataValidation type="list" allowBlank="1" showInputMessage="1" showErrorMessage="1" sqref="D5:D43">
      <formula1>INDIRECT("BSources[Code]")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0" id="{36C28068-41A0-4FA2-B200-7B29C1E6953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Z33"/>
  <sheetViews>
    <sheetView showGridLines="0" topLeftCell="A2" zoomScaleNormal="100" workbookViewId="0">
      <pane xSplit="1" ySplit="3" topLeftCell="B5" activePane="bottomRight" state="frozen"/>
      <selection activeCell="F9" sqref="F9"/>
      <selection pane="topRight" activeCell="F9" sqref="F9"/>
      <selection pane="bottomLeft" activeCell="F9" sqref="F9"/>
      <selection pane="bottomRight" activeCell="F9" sqref="F9"/>
    </sheetView>
  </sheetViews>
  <sheetFormatPr defaultColWidth="9.140625" defaultRowHeight="15"/>
  <cols>
    <col min="1" max="1" width="21.28515625" style="27" customWidth="1"/>
    <col min="2" max="2" width="5.5703125" style="35" bestFit="1" customWidth="1"/>
    <col min="3" max="3" width="9.7109375" style="36" bestFit="1" customWidth="1"/>
    <col min="4" max="4" width="16.7109375" style="35" bestFit="1" customWidth="1"/>
    <col min="5" max="5" width="7.7109375" style="35" bestFit="1" customWidth="1"/>
    <col min="6" max="6" width="11.85546875" style="35" bestFit="1" customWidth="1"/>
    <col min="7" max="7" width="12.85546875" style="35" bestFit="1" customWidth="1"/>
    <col min="8" max="8" width="13.28515625" style="35" customWidth="1"/>
    <col min="9" max="9" width="15.85546875" style="35" hidden="1" customWidth="1"/>
    <col min="10" max="10" width="18.140625" style="35" hidden="1" customWidth="1"/>
    <col min="11" max="12" width="9.140625" style="35" customWidth="1"/>
    <col min="13" max="16384" width="9.140625" style="35"/>
  </cols>
  <sheetData>
    <row r="1" spans="1:26" ht="51.6" hidden="1" customHeight="1">
      <c r="A1" s="34"/>
      <c r="L1" s="35">
        <v>52</v>
      </c>
    </row>
    <row r="2" spans="1:26" s="37" customFormat="1" ht="29.25" customHeight="1" thickBot="1">
      <c r="A2" s="27"/>
      <c r="B2" s="102" t="s">
        <v>37</v>
      </c>
      <c r="C2" s="102"/>
      <c r="D2" s="102"/>
      <c r="E2" s="102"/>
      <c r="F2" s="102"/>
      <c r="G2" s="102"/>
      <c r="H2" s="102"/>
    </row>
    <row r="3" spans="1:26" s="38" customFormat="1" ht="9" customHeight="1" thickTop="1">
      <c r="A3" s="27"/>
      <c r="C3" s="39"/>
    </row>
    <row r="4" spans="1:26" s="42" customFormat="1" ht="15" customHeight="1">
      <c r="A4" s="27"/>
      <c r="B4" s="40" t="s">
        <v>11</v>
      </c>
      <c r="C4" s="41" t="s">
        <v>1</v>
      </c>
      <c r="D4" s="41" t="s">
        <v>31</v>
      </c>
      <c r="E4" s="41" t="s">
        <v>38</v>
      </c>
      <c r="F4" s="41" t="s">
        <v>7</v>
      </c>
      <c r="G4" s="41" t="s">
        <v>39</v>
      </c>
      <c r="H4" s="41" t="s">
        <v>4</v>
      </c>
      <c r="I4" s="41" t="s">
        <v>2</v>
      </c>
      <c r="J4" s="41" t="s">
        <v>20</v>
      </c>
    </row>
    <row r="5" spans="1:26">
      <c r="A5" s="28"/>
      <c r="B5" s="43">
        <f>IF(BSCDetails[[#This Row],[Active]]=TRUE,1,0)</f>
        <v>1</v>
      </c>
      <c r="C5" s="29" t="b">
        <v>1</v>
      </c>
      <c r="D5" s="43" t="s">
        <v>651</v>
      </c>
      <c r="E5" s="43">
        <v>0</v>
      </c>
      <c r="F5" s="44">
        <v>1.3375999999999999</v>
      </c>
      <c r="G5" s="53">
        <v>1.4999999999999999E-2</v>
      </c>
      <c r="H5" s="43"/>
      <c r="I5" s="46">
        <v>25</v>
      </c>
      <c r="J5" s="47">
        <v>417</v>
      </c>
      <c r="Y5" s="55">
        <f>BSCDetails[[#This Row],[Value]]*(1+BSCDetails[[#This Row],[Variability]])</f>
        <v>1.3576639999999998</v>
      </c>
      <c r="Z5" s="55">
        <f>BSCDetails[[#This Row],[Value]]*(1-BSCDetails[[#This Row],[Variability]])</f>
        <v>1.3175359999999998</v>
      </c>
    </row>
    <row r="6" spans="1:26">
      <c r="B6" s="90">
        <f>IF(BSCDetails[[#This Row],[Active]]=TRUE,1,0)</f>
        <v>1</v>
      </c>
      <c r="C6" s="75" t="b">
        <v>1</v>
      </c>
      <c r="D6" s="90" t="s">
        <v>651</v>
      </c>
      <c r="E6" s="90">
        <v>31</v>
      </c>
      <c r="F6" s="91">
        <v>1.3371999999999999</v>
      </c>
      <c r="G6" s="92">
        <v>0</v>
      </c>
      <c r="H6" s="90"/>
      <c r="I6" s="93">
        <v>25</v>
      </c>
      <c r="J6" s="90">
        <v>418</v>
      </c>
      <c r="Y6" s="55">
        <f>BSCDetails[[#This Row],[Value]]*(1+BSCDetails[[#This Row],[Variability]])</f>
        <v>1.3371999999999999</v>
      </c>
      <c r="Z6" s="55">
        <f>BSCDetails[[#This Row],[Value]]*(1-BSCDetails[[#This Row],[Variability]])</f>
        <v>1.3371999999999999</v>
      </c>
    </row>
    <row r="7" spans="1:26">
      <c r="B7" s="90">
        <f>IF(BSCDetails[[#This Row],[Active]]=TRUE,1,0)</f>
        <v>1</v>
      </c>
      <c r="C7" s="75" t="b">
        <v>1</v>
      </c>
      <c r="D7" s="90" t="s">
        <v>651</v>
      </c>
      <c r="E7" s="90">
        <v>61</v>
      </c>
      <c r="F7" s="91">
        <v>1.3369</v>
      </c>
      <c r="G7" s="92">
        <v>0</v>
      </c>
      <c r="H7" s="90"/>
      <c r="I7" s="93">
        <v>25</v>
      </c>
      <c r="J7" s="90">
        <v>419</v>
      </c>
      <c r="Y7" s="55">
        <f>BSCDetails[[#This Row],[Value]]*(1+BSCDetails[[#This Row],[Variability]])</f>
        <v>1.3369</v>
      </c>
      <c r="Z7" s="55">
        <f>BSCDetails[[#This Row],[Value]]*(1-BSCDetails[[#This Row],[Variability]])</f>
        <v>1.3369</v>
      </c>
    </row>
    <row r="8" spans="1:26" ht="14.25" customHeight="1">
      <c r="B8" s="90">
        <f>IF(BSCDetails[[#This Row],[Active]]=TRUE,1,0)</f>
        <v>1</v>
      </c>
      <c r="C8" s="75" t="b">
        <v>1</v>
      </c>
      <c r="D8" s="90" t="s">
        <v>651</v>
      </c>
      <c r="E8" s="90">
        <v>92</v>
      </c>
      <c r="F8" s="91">
        <v>1.3365</v>
      </c>
      <c r="G8" s="92">
        <v>0</v>
      </c>
      <c r="H8" s="90"/>
      <c r="I8" s="93">
        <v>25</v>
      </c>
      <c r="J8" s="90">
        <v>420</v>
      </c>
      <c r="Y8" s="55">
        <f>BSCDetails[[#This Row],[Value]]*(1+BSCDetails[[#This Row],[Variability]])</f>
        <v>1.3365</v>
      </c>
      <c r="Z8" s="55">
        <f>BSCDetails[[#This Row],[Value]]*(1-BSCDetails[[#This Row],[Variability]])</f>
        <v>1.3365</v>
      </c>
    </row>
    <row r="9" spans="1:26">
      <c r="B9" s="90">
        <f>IF(BSCDetails[[#This Row],[Active]]=TRUE,1,0)</f>
        <v>1</v>
      </c>
      <c r="C9" s="75" t="b">
        <v>1</v>
      </c>
      <c r="D9" s="90" t="s">
        <v>651</v>
      </c>
      <c r="E9" s="90">
        <v>123</v>
      </c>
      <c r="F9" s="91">
        <v>1.3361000000000001</v>
      </c>
      <c r="G9" s="92">
        <v>0</v>
      </c>
      <c r="H9" s="90"/>
      <c r="I9" s="93">
        <v>25</v>
      </c>
      <c r="J9" s="90">
        <v>421</v>
      </c>
      <c r="Y9" s="55">
        <f>BSCDetails[[#This Row],[Value]]*(1+BSCDetails[[#This Row],[Variability]])</f>
        <v>1.3361000000000001</v>
      </c>
      <c r="Z9" s="55">
        <f>BSCDetails[[#This Row],[Value]]*(1-BSCDetails[[#This Row],[Variability]])</f>
        <v>1.3361000000000001</v>
      </c>
    </row>
    <row r="10" spans="1:26">
      <c r="B10" s="90">
        <f>IF(BSCDetails[[#This Row],[Active]]=TRUE,1,0)</f>
        <v>1</v>
      </c>
      <c r="C10" s="75" t="b">
        <v>1</v>
      </c>
      <c r="D10" s="90" t="s">
        <v>651</v>
      </c>
      <c r="E10" s="90">
        <v>151</v>
      </c>
      <c r="F10" s="91">
        <v>1.3358000000000001</v>
      </c>
      <c r="G10" s="92">
        <v>0</v>
      </c>
      <c r="H10" s="90"/>
      <c r="I10" s="93">
        <v>25</v>
      </c>
      <c r="J10" s="90">
        <v>422</v>
      </c>
      <c r="Y10" s="55">
        <f>BSCDetails[[#This Row],[Value]]*(1+BSCDetails[[#This Row],[Variability]])</f>
        <v>1.3358000000000001</v>
      </c>
      <c r="Z10" s="55">
        <f>BSCDetails[[#This Row],[Value]]*(1-BSCDetails[[#This Row],[Variability]])</f>
        <v>1.3358000000000001</v>
      </c>
    </row>
    <row r="11" spans="1:26">
      <c r="B11" s="90">
        <f>IF(BSCDetails[[#This Row],[Active]]=TRUE,1,0)</f>
        <v>1</v>
      </c>
      <c r="C11" s="75" t="b">
        <v>1</v>
      </c>
      <c r="D11" s="90" t="s">
        <v>651</v>
      </c>
      <c r="E11" s="90">
        <v>182</v>
      </c>
      <c r="F11" s="91">
        <v>1.3354999999999999</v>
      </c>
      <c r="G11" s="92">
        <v>0</v>
      </c>
      <c r="H11" s="90"/>
      <c r="I11" s="93">
        <v>25</v>
      </c>
      <c r="J11" s="90">
        <v>423</v>
      </c>
      <c r="Y11" s="55">
        <f>BSCDetails[[#This Row],[Value]]*(1+BSCDetails[[#This Row],[Variability]])</f>
        <v>1.3354999999999999</v>
      </c>
      <c r="Z11" s="55">
        <f>BSCDetails[[#This Row],[Value]]*(1-BSCDetails[[#This Row],[Variability]])</f>
        <v>1.3354999999999999</v>
      </c>
    </row>
    <row r="12" spans="1:26">
      <c r="B12" s="90">
        <f>IF(BSCDetails[[#This Row],[Active]]=TRUE,1,0)</f>
        <v>1</v>
      </c>
      <c r="C12" s="75" t="b">
        <v>1</v>
      </c>
      <c r="D12" s="90" t="s">
        <v>651</v>
      </c>
      <c r="E12" s="90">
        <v>212</v>
      </c>
      <c r="F12" s="91">
        <v>1.3351</v>
      </c>
      <c r="G12" s="92">
        <v>0</v>
      </c>
      <c r="H12" s="90"/>
      <c r="I12" s="93">
        <v>25</v>
      </c>
      <c r="J12" s="90">
        <v>424</v>
      </c>
      <c r="Y12" s="55">
        <f>BSCDetails[[#This Row],[Value]]*(1+BSCDetails[[#This Row],[Variability]])</f>
        <v>1.3351</v>
      </c>
      <c r="Z12" s="55">
        <f>BSCDetails[[#This Row],[Value]]*(1-BSCDetails[[#This Row],[Variability]])</f>
        <v>1.3351</v>
      </c>
    </row>
    <row r="13" spans="1:26">
      <c r="B13" s="90">
        <f>IF(BSCDetails[[#This Row],[Active]]=TRUE,1,0)</f>
        <v>1</v>
      </c>
      <c r="C13" s="75" t="b">
        <v>1</v>
      </c>
      <c r="D13" s="90" t="s">
        <v>651</v>
      </c>
      <c r="E13" s="90">
        <v>243</v>
      </c>
      <c r="F13" s="91">
        <v>1.3348</v>
      </c>
      <c r="G13" s="92">
        <v>0</v>
      </c>
      <c r="H13" s="90"/>
      <c r="I13" s="93">
        <v>25</v>
      </c>
      <c r="J13" s="90">
        <v>425</v>
      </c>
      <c r="Y13" s="55">
        <f>BSCDetails[[#This Row],[Value]]*(1+BSCDetails[[#This Row],[Variability]])</f>
        <v>1.3348</v>
      </c>
      <c r="Z13" s="55">
        <f>BSCDetails[[#This Row],[Value]]*(1-BSCDetails[[#This Row],[Variability]])</f>
        <v>1.3348</v>
      </c>
    </row>
    <row r="14" spans="1:26">
      <c r="B14" s="90">
        <f>IF(BSCDetails[[#This Row],[Active]]=TRUE,1,0)</f>
        <v>1</v>
      </c>
      <c r="C14" s="75" t="b">
        <v>1</v>
      </c>
      <c r="D14" s="90" t="s">
        <v>651</v>
      </c>
      <c r="E14" s="90">
        <v>273</v>
      </c>
      <c r="F14" s="91">
        <v>1.3344</v>
      </c>
      <c r="G14" s="92">
        <v>0</v>
      </c>
      <c r="H14" s="90"/>
      <c r="I14" s="93">
        <v>25</v>
      </c>
      <c r="J14" s="90">
        <v>426</v>
      </c>
      <c r="Y14" s="55">
        <f>BSCDetails[[#This Row],[Value]]*(1+BSCDetails[[#This Row],[Variability]])</f>
        <v>1.3344</v>
      </c>
      <c r="Z14" s="55">
        <f>BSCDetails[[#This Row],[Value]]*(1-BSCDetails[[#This Row],[Variability]])</f>
        <v>1.3344</v>
      </c>
    </row>
    <row r="15" spans="1:26">
      <c r="B15" s="90">
        <f>IF(BSCDetails[[#This Row],[Active]]=TRUE,1,0)</f>
        <v>1</v>
      </c>
      <c r="C15" s="75" t="b">
        <v>1</v>
      </c>
      <c r="D15" s="90" t="s">
        <v>651</v>
      </c>
      <c r="E15" s="90">
        <v>304</v>
      </c>
      <c r="F15" s="91">
        <v>1.3341000000000001</v>
      </c>
      <c r="G15" s="92">
        <v>0</v>
      </c>
      <c r="H15" s="90"/>
      <c r="I15" s="93">
        <v>25</v>
      </c>
      <c r="J15" s="90">
        <v>427</v>
      </c>
      <c r="Y15" s="55">
        <f>BSCDetails[[#This Row],[Value]]*(1+BSCDetails[[#This Row],[Variability]])</f>
        <v>1.3341000000000001</v>
      </c>
      <c r="Z15" s="55">
        <f>BSCDetails[[#This Row],[Value]]*(1-BSCDetails[[#This Row],[Variability]])</f>
        <v>1.3341000000000001</v>
      </c>
    </row>
    <row r="16" spans="1:26">
      <c r="B16" s="90">
        <f>IF(BSCDetails[[#This Row],[Active]]=TRUE,1,0)</f>
        <v>1</v>
      </c>
      <c r="C16" s="75" t="b">
        <v>1</v>
      </c>
      <c r="D16" s="90" t="s">
        <v>651</v>
      </c>
      <c r="E16" s="90">
        <v>335</v>
      </c>
      <c r="F16" s="91">
        <v>1.3337000000000001</v>
      </c>
      <c r="G16" s="92">
        <v>0</v>
      </c>
      <c r="H16" s="90"/>
      <c r="I16" s="93">
        <v>25</v>
      </c>
      <c r="J16" s="90">
        <v>428</v>
      </c>
      <c r="Y16" s="55">
        <f>BSCDetails[[#This Row],[Value]]*(1+BSCDetails[[#This Row],[Variability]])</f>
        <v>1.3337000000000001</v>
      </c>
      <c r="Z16" s="55">
        <f>BSCDetails[[#This Row],[Value]]*(1-BSCDetails[[#This Row],[Variability]])</f>
        <v>1.3337000000000001</v>
      </c>
    </row>
    <row r="17" spans="2:26">
      <c r="B17" s="90">
        <f>IF(BSCDetails[[#This Row],[Active]]=TRUE,1,0)</f>
        <v>1</v>
      </c>
      <c r="C17" s="75" t="b">
        <v>1</v>
      </c>
      <c r="D17" s="90" t="s">
        <v>651</v>
      </c>
      <c r="E17" s="90">
        <v>365</v>
      </c>
      <c r="F17" s="91">
        <v>1.3332999999999999</v>
      </c>
      <c r="G17" s="92">
        <v>0</v>
      </c>
      <c r="H17" s="90"/>
      <c r="I17" s="93">
        <v>25</v>
      </c>
      <c r="J17" s="90">
        <v>429</v>
      </c>
      <c r="Y17" s="55">
        <f>BSCDetails[[#This Row],[Value]]*(1+BSCDetails[[#This Row],[Variability]])</f>
        <v>1.3332999999999999</v>
      </c>
      <c r="Z17" s="55">
        <f>BSCDetails[[#This Row],[Value]]*(1-BSCDetails[[#This Row],[Variability]])</f>
        <v>1.3332999999999999</v>
      </c>
    </row>
    <row r="18" spans="2:26">
      <c r="B18" s="90">
        <f>IF(BSCDetails[[#This Row],[Active]]=TRUE,1,0)</f>
        <v>1</v>
      </c>
      <c r="C18" s="75" t="b">
        <v>1</v>
      </c>
      <c r="D18" s="90" t="s">
        <v>651</v>
      </c>
      <c r="E18" s="90">
        <v>457</v>
      </c>
      <c r="F18" s="91">
        <v>1.3321000000000001</v>
      </c>
      <c r="G18" s="92">
        <v>0</v>
      </c>
      <c r="H18" s="90"/>
      <c r="I18" s="93">
        <v>25</v>
      </c>
      <c r="J18" s="90">
        <v>430</v>
      </c>
      <c r="Y18" s="55">
        <f>BSCDetails[[#This Row],[Value]]*(1+BSCDetails[[#This Row],[Variability]])</f>
        <v>1.3321000000000001</v>
      </c>
      <c r="Z18" s="55">
        <f>BSCDetails[[#This Row],[Value]]*(1-BSCDetails[[#This Row],[Variability]])</f>
        <v>1.3321000000000001</v>
      </c>
    </row>
    <row r="19" spans="2:26">
      <c r="B19" s="90">
        <f>IF(BSCDetails[[#This Row],[Active]]=TRUE,1,0)</f>
        <v>1</v>
      </c>
      <c r="C19" s="75" t="b">
        <v>1</v>
      </c>
      <c r="D19" s="90" t="s">
        <v>651</v>
      </c>
      <c r="E19" s="90">
        <v>547</v>
      </c>
      <c r="F19" s="91">
        <v>1.3306</v>
      </c>
      <c r="G19" s="92">
        <v>0</v>
      </c>
      <c r="H19" s="90"/>
      <c r="I19" s="93">
        <v>25</v>
      </c>
      <c r="J19" s="90">
        <v>431</v>
      </c>
      <c r="Y19" s="55">
        <f>BSCDetails[[#This Row],[Value]]*(1+BSCDetails[[#This Row],[Variability]])</f>
        <v>1.3306</v>
      </c>
      <c r="Z19" s="55">
        <f>BSCDetails[[#This Row],[Value]]*(1-BSCDetails[[#This Row],[Variability]])</f>
        <v>1.3306</v>
      </c>
    </row>
    <row r="20" spans="2:26">
      <c r="B20" s="90">
        <f>IF(BSCDetails[[#This Row],[Active]]=TRUE,1,0)</f>
        <v>1</v>
      </c>
      <c r="C20" s="75" t="b">
        <v>1</v>
      </c>
      <c r="D20" s="90" t="s">
        <v>651</v>
      </c>
      <c r="E20" s="90">
        <v>638</v>
      </c>
      <c r="F20" s="91">
        <v>1.3293999999999999</v>
      </c>
      <c r="G20" s="92">
        <v>0</v>
      </c>
      <c r="H20" s="90"/>
      <c r="I20" s="93">
        <v>25</v>
      </c>
      <c r="J20" s="90">
        <v>432</v>
      </c>
      <c r="Y20" s="55">
        <f>BSCDetails[[#This Row],[Value]]*(1+BSCDetails[[#This Row],[Variability]])</f>
        <v>1.3293999999999999</v>
      </c>
      <c r="Z20" s="55">
        <f>BSCDetails[[#This Row],[Value]]*(1-BSCDetails[[#This Row],[Variability]])</f>
        <v>1.3293999999999999</v>
      </c>
    </row>
    <row r="21" spans="2:26">
      <c r="B21" s="90">
        <f>IF(BSCDetails[[#This Row],[Active]]=TRUE,1,0)</f>
        <v>1</v>
      </c>
      <c r="C21" s="75" t="b">
        <v>1</v>
      </c>
      <c r="D21" s="90" t="s">
        <v>651</v>
      </c>
      <c r="E21" s="90">
        <v>730</v>
      </c>
      <c r="F21" s="91">
        <v>1.3279000000000001</v>
      </c>
      <c r="G21" s="92">
        <v>0</v>
      </c>
      <c r="H21" s="90"/>
      <c r="I21" s="93">
        <v>25</v>
      </c>
      <c r="J21" s="90">
        <v>433</v>
      </c>
      <c r="Y21" s="55">
        <f>BSCDetails[[#This Row],[Value]]*(1+BSCDetails[[#This Row],[Variability]])</f>
        <v>1.3279000000000001</v>
      </c>
      <c r="Z21" s="55">
        <f>BSCDetails[[#This Row],[Value]]*(1-BSCDetails[[#This Row],[Variability]])</f>
        <v>1.3279000000000001</v>
      </c>
    </row>
    <row r="22" spans="2:26">
      <c r="B22" s="90">
        <f>IF(BSCDetails[[#This Row],[Active]]=TRUE,1,0)</f>
        <v>1</v>
      </c>
      <c r="C22" s="75" t="b">
        <v>1</v>
      </c>
      <c r="D22" s="90" t="s">
        <v>651</v>
      </c>
      <c r="E22" s="90">
        <v>1095</v>
      </c>
      <c r="F22" s="91">
        <v>1.3230999999999999</v>
      </c>
      <c r="G22" s="92">
        <v>0</v>
      </c>
      <c r="H22" s="90"/>
      <c r="I22" s="93">
        <v>25</v>
      </c>
      <c r="J22" s="90">
        <v>434</v>
      </c>
      <c r="Y22" s="55">
        <f>BSCDetails[[#This Row],[Value]]*(1+BSCDetails[[#This Row],[Variability]])</f>
        <v>1.3230999999999999</v>
      </c>
      <c r="Z22" s="55">
        <f>BSCDetails[[#This Row],[Value]]*(1-BSCDetails[[#This Row],[Variability]])</f>
        <v>1.3230999999999999</v>
      </c>
    </row>
    <row r="23" spans="2:26">
      <c r="B23" s="90">
        <f>IF(BSCDetails[[#This Row],[Active]]=TRUE,1,0)</f>
        <v>1</v>
      </c>
      <c r="C23" s="75" t="b">
        <v>1</v>
      </c>
      <c r="D23" s="90" t="s">
        <v>651</v>
      </c>
      <c r="E23" s="90">
        <v>1461</v>
      </c>
      <c r="F23" s="91">
        <v>1.3184</v>
      </c>
      <c r="G23" s="92">
        <v>0</v>
      </c>
      <c r="H23" s="90"/>
      <c r="I23" s="93">
        <v>25</v>
      </c>
      <c r="J23" s="90">
        <v>435</v>
      </c>
      <c r="Y23" s="55">
        <f>BSCDetails[[#This Row],[Value]]*(1+BSCDetails[[#This Row],[Variability]])</f>
        <v>1.3184</v>
      </c>
      <c r="Z23" s="55">
        <f>BSCDetails[[#This Row],[Value]]*(1-BSCDetails[[#This Row],[Variability]])</f>
        <v>1.3184</v>
      </c>
    </row>
    <row r="24" spans="2:26">
      <c r="B24" s="90">
        <f>IF(BSCDetails[[#This Row],[Active]]=TRUE,1,0)</f>
        <v>1</v>
      </c>
      <c r="C24" s="75" t="b">
        <v>1</v>
      </c>
      <c r="D24" s="90" t="s">
        <v>651</v>
      </c>
      <c r="E24" s="90">
        <v>1826</v>
      </c>
      <c r="F24" s="91">
        <v>1.3139000000000001</v>
      </c>
      <c r="G24" s="92">
        <v>0</v>
      </c>
      <c r="H24" s="90"/>
      <c r="I24" s="93">
        <v>25</v>
      </c>
      <c r="J24" s="90">
        <v>436</v>
      </c>
      <c r="Y24" s="55">
        <f>BSCDetails[[#This Row],[Value]]*(1+BSCDetails[[#This Row],[Variability]])</f>
        <v>1.3139000000000001</v>
      </c>
      <c r="Z24" s="55">
        <f>BSCDetails[[#This Row],[Value]]*(1-BSCDetails[[#This Row],[Variability]])</f>
        <v>1.3139000000000001</v>
      </c>
    </row>
    <row r="25" spans="2:26">
      <c r="B25" s="90">
        <f>IF(BSCDetails[[#This Row],[Active]]=TRUE,1,0)</f>
        <v>1</v>
      </c>
      <c r="C25" s="75" t="b">
        <v>1</v>
      </c>
      <c r="D25" s="90" t="s">
        <v>651</v>
      </c>
      <c r="E25" s="90">
        <v>2191</v>
      </c>
      <c r="F25" s="91">
        <v>1.31</v>
      </c>
      <c r="G25" s="92">
        <v>0</v>
      </c>
      <c r="H25" s="90"/>
      <c r="I25" s="93">
        <v>25</v>
      </c>
      <c r="J25" s="90">
        <v>437</v>
      </c>
      <c r="Y25" s="55">
        <f>BSCDetails[[#This Row],[Value]]*(1+BSCDetails[[#This Row],[Variability]])</f>
        <v>1.31</v>
      </c>
      <c r="Z25" s="55">
        <f>BSCDetails[[#This Row],[Value]]*(1-BSCDetails[[#This Row],[Variability]])</f>
        <v>1.31</v>
      </c>
    </row>
    <row r="26" spans="2:26">
      <c r="B26" s="90">
        <f>IF(BSCDetails[[#This Row],[Active]]=TRUE,1,0)</f>
        <v>1</v>
      </c>
      <c r="C26" s="75" t="b">
        <v>1</v>
      </c>
      <c r="D26" s="90" t="s">
        <v>651</v>
      </c>
      <c r="E26" s="90">
        <v>2556</v>
      </c>
      <c r="F26" s="91">
        <v>1.3079000000000001</v>
      </c>
      <c r="G26" s="92">
        <v>0</v>
      </c>
      <c r="H26" s="90"/>
      <c r="I26" s="93">
        <v>25</v>
      </c>
      <c r="J26" s="90">
        <v>438</v>
      </c>
      <c r="Y26" s="55">
        <f>BSCDetails[[#This Row],[Value]]*(1+BSCDetails[[#This Row],[Variability]])</f>
        <v>1.3079000000000001</v>
      </c>
      <c r="Z26" s="55">
        <f>BSCDetails[[#This Row],[Value]]*(1-BSCDetails[[#This Row],[Variability]])</f>
        <v>1.3079000000000001</v>
      </c>
    </row>
    <row r="27" spans="2:26">
      <c r="B27" s="90">
        <f>IF(BSCDetails[[#This Row],[Active]]=TRUE,1,0)</f>
        <v>1</v>
      </c>
      <c r="C27" s="75" t="b">
        <v>1</v>
      </c>
      <c r="D27" s="90" t="s">
        <v>651</v>
      </c>
      <c r="E27" s="90">
        <v>2922</v>
      </c>
      <c r="F27" s="91">
        <v>1.3084</v>
      </c>
      <c r="G27" s="92">
        <v>0</v>
      </c>
      <c r="H27" s="90"/>
      <c r="I27" s="93">
        <v>25</v>
      </c>
      <c r="J27" s="90">
        <v>439</v>
      </c>
      <c r="Y27" s="55">
        <f>BSCDetails[[#This Row],[Value]]*(1+BSCDetails[[#This Row],[Variability]])</f>
        <v>1.3084</v>
      </c>
      <c r="Z27" s="55">
        <f>BSCDetails[[#This Row],[Value]]*(1-BSCDetails[[#This Row],[Variability]])</f>
        <v>1.3084</v>
      </c>
    </row>
    <row r="28" spans="2:26">
      <c r="B28" s="90">
        <f>IF(BSCDetails[[#This Row],[Active]]=TRUE,1,0)</f>
        <v>1</v>
      </c>
      <c r="C28" s="75" t="b">
        <v>1</v>
      </c>
      <c r="D28" s="90" t="s">
        <v>651</v>
      </c>
      <c r="E28" s="90">
        <v>3287</v>
      </c>
      <c r="F28" s="91">
        <v>1.3090999999999999</v>
      </c>
      <c r="G28" s="92">
        <v>0</v>
      </c>
      <c r="H28" s="90"/>
      <c r="I28" s="93">
        <v>25</v>
      </c>
      <c r="J28" s="90">
        <v>440</v>
      </c>
      <c r="Y28" s="55">
        <f>BSCDetails[[#This Row],[Value]]*(1+BSCDetails[[#This Row],[Variability]])</f>
        <v>1.3090999999999999</v>
      </c>
      <c r="Z28" s="55">
        <f>BSCDetails[[#This Row],[Value]]*(1-BSCDetails[[#This Row],[Variability]])</f>
        <v>1.3090999999999999</v>
      </c>
    </row>
    <row r="29" spans="2:26">
      <c r="B29" s="90">
        <f>IF(BSCDetails[[#This Row],[Active]]=TRUE,1,0)</f>
        <v>1</v>
      </c>
      <c r="C29" s="75" t="b">
        <v>1</v>
      </c>
      <c r="D29" s="90" t="s">
        <v>651</v>
      </c>
      <c r="E29" s="90">
        <v>3652</v>
      </c>
      <c r="F29" s="91">
        <v>1.3129999999999999</v>
      </c>
      <c r="G29" s="92">
        <v>0</v>
      </c>
      <c r="H29" s="90"/>
      <c r="I29" s="93">
        <v>25</v>
      </c>
      <c r="J29" s="90">
        <v>441</v>
      </c>
      <c r="Y29" s="55">
        <f>BSCDetails[[#This Row],[Value]]*(1+BSCDetails[[#This Row],[Variability]])</f>
        <v>1.3129999999999999</v>
      </c>
      <c r="Z29" s="55">
        <f>BSCDetails[[#This Row],[Value]]*(1-BSCDetails[[#This Row],[Variability]])</f>
        <v>1.3129999999999999</v>
      </c>
    </row>
    <row r="30" spans="2:26">
      <c r="B30" s="90">
        <f>IF(BSCDetails[[#This Row],[Active]]=TRUE,1,0)</f>
        <v>1</v>
      </c>
      <c r="C30" s="75" t="b">
        <v>1</v>
      </c>
      <c r="D30" s="90" t="s">
        <v>651</v>
      </c>
      <c r="E30" s="90">
        <v>5478</v>
      </c>
      <c r="F30" s="91">
        <v>1.3436999999999999</v>
      </c>
      <c r="G30" s="92">
        <v>0</v>
      </c>
      <c r="H30" s="90"/>
      <c r="I30" s="93">
        <v>25</v>
      </c>
      <c r="J30" s="90">
        <v>442</v>
      </c>
      <c r="Y30" s="55">
        <f>BSCDetails[[#This Row],[Value]]*(1+BSCDetails[[#This Row],[Variability]])</f>
        <v>1.3436999999999999</v>
      </c>
      <c r="Z30" s="55">
        <f>BSCDetails[[#This Row],[Value]]*(1-BSCDetails[[#This Row],[Variability]])</f>
        <v>1.3436999999999999</v>
      </c>
    </row>
    <row r="31" spans="2:26">
      <c r="B31" s="90">
        <f>IF(BSCDetails[[#This Row],[Active]]=TRUE,1,0)</f>
        <v>1</v>
      </c>
      <c r="C31" s="75" t="b">
        <v>1</v>
      </c>
      <c r="D31" s="90" t="s">
        <v>651</v>
      </c>
      <c r="E31" s="90">
        <v>7305</v>
      </c>
      <c r="F31" s="91">
        <v>1.3452</v>
      </c>
      <c r="G31" s="92">
        <v>0</v>
      </c>
      <c r="H31" s="90"/>
      <c r="I31" s="93">
        <v>25</v>
      </c>
      <c r="J31" s="90">
        <v>443</v>
      </c>
      <c r="Y31" s="55">
        <f>BSCDetails[[#This Row],[Value]]*(1+BSCDetails[[#This Row],[Variability]])</f>
        <v>1.3452</v>
      </c>
      <c r="Z31" s="55">
        <f>BSCDetails[[#This Row],[Value]]*(1-BSCDetails[[#This Row],[Variability]])</f>
        <v>1.3452</v>
      </c>
    </row>
    <row r="32" spans="2:26">
      <c r="B32" s="90">
        <f>IF(BSCDetails[[#This Row],[Active]]=TRUE,1,0)</f>
        <v>1</v>
      </c>
      <c r="C32" s="75" t="b">
        <v>1</v>
      </c>
      <c r="D32" s="90" t="s">
        <v>651</v>
      </c>
      <c r="E32" s="90">
        <v>9131</v>
      </c>
      <c r="F32" s="91">
        <v>1.3228</v>
      </c>
      <c r="G32" s="92">
        <v>0</v>
      </c>
      <c r="H32" s="90"/>
      <c r="I32" s="93">
        <v>25</v>
      </c>
      <c r="J32" s="90">
        <v>444</v>
      </c>
      <c r="Y32" s="55">
        <f>BSCDetails[[#This Row],[Value]]*(1+BSCDetails[[#This Row],[Variability]])</f>
        <v>1.3228</v>
      </c>
      <c r="Z32" s="55">
        <f>BSCDetails[[#This Row],[Value]]*(1-BSCDetails[[#This Row],[Variability]])</f>
        <v>1.3228</v>
      </c>
    </row>
    <row r="33" spans="2:26">
      <c r="B33" s="90">
        <f>IF(BSCDetails[[#This Row],[Active]]=TRUE,1,0)</f>
        <v>1</v>
      </c>
      <c r="C33" s="75" t="b">
        <v>1</v>
      </c>
      <c r="D33" s="90" t="s">
        <v>651</v>
      </c>
      <c r="E33" s="90">
        <v>10957</v>
      </c>
      <c r="F33" s="91">
        <v>1.3046</v>
      </c>
      <c r="G33" s="92">
        <v>0</v>
      </c>
      <c r="H33" s="90"/>
      <c r="I33" s="93">
        <v>25</v>
      </c>
      <c r="J33" s="90">
        <v>445</v>
      </c>
      <c r="Y33" s="55">
        <f>BSCDetails[[#This Row],[Value]]*(1+BSCDetails[[#This Row],[Variability]])</f>
        <v>1.3046</v>
      </c>
      <c r="Z33" s="55">
        <f>BSCDetails[[#This Row],[Value]]*(1-BSCDetails[[#This Row],[Variability]])</f>
        <v>1.3046</v>
      </c>
    </row>
  </sheetData>
  <dataConsolidate/>
  <mergeCells count="1">
    <mergeCell ref="B2:H2"/>
  </mergeCells>
  <conditionalFormatting sqref="B5:J33">
    <cfRule type="expression" dxfId="3" priority="2">
      <formula>$C5 = FALSE</formula>
    </cfRule>
  </conditionalFormatting>
  <conditionalFormatting sqref="F5:F33 C5:C33">
    <cfRule type="containsText" dxfId="2" priority="3" operator="containsText" text="TRUE">
      <formula>NOT(ISERROR(SEARCH("TRUE",C5)))</formula>
    </cfRule>
    <cfRule type="containsText" dxfId="1" priority="4" operator="containsText" text="FALSE">
      <formula>NOT(ISERROR(SEARCH("FALSE",C5)))</formula>
    </cfRule>
  </conditionalFormatting>
  <dataValidations count="3">
    <dataValidation type="list" allowBlank="1" showInputMessage="1" showErrorMessage="1" sqref="C5:C33">
      <formula1>"TRUE, FALSE"</formula1>
    </dataValidation>
    <dataValidation type="list" allowBlank="1" showInputMessage="1" showErrorMessage="1" sqref="D5:D33">
      <formula1>INDIRECT("BSources[Code]")</formula1>
    </dataValidation>
    <dataValidation type="decimal" allowBlank="1" showInputMessage="1" showErrorMessage="1" error="The input value should be between 0 and 1." sqref="G5:G33">
      <formula1>0</formula1>
      <formula2>1</formula2>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2" id="{7349DE22-7CB6-458A-BE58-826550AE92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zoomScaleNormal="100" workbookViewId="0">
      <pane ySplit="1" topLeftCell="A2" activePane="bottomLeft" state="frozen"/>
      <selection activeCell="G25" sqref="G25"/>
      <selection pane="bottomLeft" activeCell="D30" sqref="D30"/>
    </sheetView>
  </sheetViews>
  <sheetFormatPr defaultRowHeight="15"/>
  <cols>
    <col min="1" max="1" width="6.140625" style="10" customWidth="1"/>
    <col min="2" max="2" width="14" bestFit="1" customWidth="1"/>
    <col min="3" max="3" width="29.5703125" bestFit="1" customWidth="1"/>
    <col min="4" max="4" width="9.5703125" customWidth="1"/>
    <col min="5" max="5" width="8.7109375" style="14" customWidth="1"/>
    <col min="6" max="11" width="8.7109375" customWidth="1"/>
    <col min="12" max="12" width="16.42578125" bestFit="1" customWidth="1"/>
    <col min="13" max="13" width="108" bestFit="1" customWidth="1"/>
    <col min="14" max="14" width="5.28515625" customWidth="1"/>
    <col min="15" max="15" width="4" customWidth="1"/>
  </cols>
  <sheetData>
    <row r="1" spans="1:6" s="5" customFormat="1" ht="29.25" customHeight="1" thickBot="1">
      <c r="B1" s="101" t="s">
        <v>18</v>
      </c>
      <c r="C1" s="101"/>
      <c r="D1" s="101"/>
      <c r="E1" s="101"/>
      <c r="F1" s="101"/>
    </row>
    <row r="2" spans="1:6" s="4" customFormat="1" ht="19.5" thickTop="1">
      <c r="B2" s="22" t="s">
        <v>15</v>
      </c>
    </row>
    <row r="3" spans="1:6" s="13" customFormat="1" ht="15" customHeight="1">
      <c r="A3" s="12"/>
      <c r="B3" s="18" t="s">
        <v>6</v>
      </c>
      <c r="C3" s="18" t="s">
        <v>7</v>
      </c>
    </row>
    <row r="4" spans="1:6" ht="15" customHeight="1">
      <c r="B4" t="s">
        <v>8</v>
      </c>
      <c r="C4" t="s">
        <v>23</v>
      </c>
      <c r="E4"/>
    </row>
    <row r="5" spans="1:6" ht="15" customHeight="1">
      <c r="B5" t="s">
        <v>9</v>
      </c>
      <c r="C5" t="s">
        <v>22</v>
      </c>
      <c r="E5"/>
    </row>
    <row r="6" spans="1:6" ht="15" customHeight="1">
      <c r="B6" t="s">
        <v>12</v>
      </c>
      <c r="C6" t="s">
        <v>14</v>
      </c>
      <c r="E6"/>
    </row>
    <row r="7" spans="1:6" ht="15" customHeight="1">
      <c r="B7" t="s">
        <v>13</v>
      </c>
      <c r="E7"/>
    </row>
    <row r="8" spans="1:6" ht="15" customHeight="1">
      <c r="E8"/>
    </row>
    <row r="9" spans="1:6" ht="15" customHeight="1">
      <c r="E9"/>
    </row>
    <row r="10" spans="1:6" ht="15" customHeight="1">
      <c r="E10"/>
    </row>
    <row r="11" spans="1:6" ht="15" customHeight="1">
      <c r="E11"/>
    </row>
    <row r="12" spans="1:6" ht="15" customHeight="1">
      <c r="E12"/>
    </row>
    <row r="13" spans="1:6" ht="15" customHeight="1">
      <c r="E13"/>
    </row>
    <row r="14" spans="1:6" ht="15" customHeight="1">
      <c r="E14"/>
    </row>
    <row r="15" spans="1:6" ht="15" customHeight="1">
      <c r="E15"/>
    </row>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scale="27" fitToHeight="0"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 
</file>

<file path=customXml/itemProps1.xml><?xml version="1.0" encoding="utf-8"?>
<ds:datastoreItem xmlns:ds="http://schemas.openxmlformats.org/officeDocument/2006/customXml" ds:itemID="{5F9FDD19-2E04-438C-B723-FF64C3DD2090}">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a8a573e9-1888-436c-b0b5-4345c55255eb"/>
    <ds:schemaRef ds:uri="http://www.w3.org/XML/1998/namespace"/>
    <ds:schemaRef ds:uri="http://purl.org/dc/dcmitype/"/>
  </ds:schemaRefs>
</ds:datastoreItem>
</file>

<file path=customXml/itemProps2.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3.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4.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5.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6.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8.xml><?xml version="1.0" encoding="utf-8"?>
<ds:datastoreItem xmlns:ds="http://schemas.openxmlformats.org/officeDocument/2006/customXml" ds:itemID="{68B67B75-9605-41E6-9753-1015017C5B0B}">
  <ds:schemaRefs>
    <ds:schemaRef ds:uri="http://gemini/pivotcustomization/Error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16</vt:i4>
      </vt:variant>
    </vt:vector>
  </HeadingPairs>
  <TitlesOfParts>
    <vt:vector size="32" baseType="lpstr">
      <vt:lpstr>Main</vt:lpstr>
      <vt:lpstr>Shippers</vt:lpstr>
      <vt:lpstr>Sites</vt:lpstr>
      <vt:lpstr>Jurisdictions</vt:lpstr>
      <vt:lpstr>Companies</vt:lpstr>
      <vt:lpstr>Facility Type</vt:lpstr>
      <vt:lpstr>Facilities</vt:lpstr>
      <vt:lpstr>Facility Schedule</vt:lpstr>
      <vt:lpstr>Tax Events</vt:lpstr>
      <vt:lpstr>Credit Events</vt:lpstr>
      <vt:lpstr>Facility Dependencies</vt:lpstr>
      <vt:lpstr>Variables</vt:lpstr>
      <vt:lpstr>Batch Sources</vt:lpstr>
      <vt:lpstr>Batch Source Details</vt:lpstr>
      <vt:lpstr>Batch Source Curve Details</vt:lpstr>
      <vt:lpstr>System Tables</vt:lpstr>
      <vt:lpstr>'Batch Source Curve Details'!Print_Area</vt:lpstr>
      <vt:lpstr>'Batch Source Details'!Print_Area</vt:lpstr>
      <vt:lpstr>'Batch Sources'!Print_Area</vt:lpstr>
      <vt:lpstr>Companies!Print_Area</vt:lpstr>
      <vt:lpstr>'Credit Events'!Print_Area</vt:lpstr>
      <vt:lpstr>Facilities!Print_Area</vt:lpstr>
      <vt:lpstr>'Facility Dependencies'!Print_Area</vt:lpstr>
      <vt:lpstr>'Facility Schedule'!Print_Area</vt:lpstr>
      <vt:lpstr>'Facility Type'!Print_Area</vt:lpstr>
      <vt:lpstr>Jurisdictions!Print_Area</vt:lpstr>
      <vt:lpstr>Main!Print_Area</vt:lpstr>
      <vt:lpstr>Shippers!Print_Area</vt:lpstr>
      <vt:lpstr>Sites!Print_Area</vt:lpstr>
      <vt:lpstr>'System Tables'!Print_Area</vt:lpstr>
      <vt:lpstr>'Tax Events'!Print_Area</vt:lpstr>
      <vt:lpstr>Variables!Print_Area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2017-06-01T22:57:49Z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